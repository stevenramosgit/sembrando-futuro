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o" sheetId="1" state="visible" r:id="rId1"/>
    <sheet xmlns:r="http://schemas.openxmlformats.org/officeDocument/2006/relationships" name="Mediciones" sheetId="2" state="visible" r:id="rId2"/>
    <sheet xmlns:r="http://schemas.openxmlformats.org/officeDocument/2006/relationships" name="Bitacora_Tiempo" sheetId="3" state="visible" r:id="rId3"/>
    <sheet xmlns:r="http://schemas.openxmlformats.org/officeDocument/2006/relationships" name="Registro_Defectos" sheetId="4" state="visible" r:id="rId4"/>
    <sheet xmlns:r="http://schemas.openxmlformats.org/officeDocument/2006/relationships" name="Resumen_Sprint" sheetId="5" state="visible" r:id="rId5"/>
    <sheet xmlns:r="http://schemas.openxmlformats.org/officeDocument/2006/relationships" name="NPR" sheetId="6" state="visible" r:id="rId6"/>
  </sheets>
  <definedNames/>
  <calcPr calcId="124519" fullCalcOnLoad="1"/>
</workbook>
</file>

<file path=xl/styles.xml><?xml version="1.0" encoding="utf-8"?>
<styleSheet xmlns="http://schemas.openxmlformats.org/spreadsheetml/2006/main">
  <numFmts count="2">
    <numFmt numFmtId="164" formatCode="dd/mm/yyyy"/>
    <numFmt numFmtId="165" formatCode="hh:mm"/>
  </numFmts>
  <fonts count="4">
    <font>
      <name val="Calibri"/>
      <family val="2"/>
      <color theme="1"/>
      <sz val="11"/>
      <scheme val="minor"/>
    </font>
    <font>
      <name val="Arial"/>
      <b val="1"/>
      <sz val="13"/>
    </font>
    <font>
      <name val="Arial"/>
      <b val="1"/>
      <sz val="10"/>
    </font>
    <font>
      <name val="Arial"/>
      <sz val="10"/>
    </font>
  </fonts>
  <fills count="3">
    <fill>
      <patternFill/>
    </fill>
    <fill>
      <patternFill patternType="gray125"/>
    </fill>
    <fill>
      <patternFill patternType="solid">
        <fgColor rgb="00D9D9D9"/>
      </patternFill>
    </fill>
  </fills>
  <borders count="3">
    <border>
      <left/>
      <right/>
      <top/>
      <bottom/>
      <diagonal/>
    </border>
    <border>
      <left style="thin">
        <color rgb="00000000"/>
      </left>
      <right style="thin">
        <color rgb="00000000"/>
      </right>
      <top style="thin">
        <color rgb="00000000"/>
      </top>
      <bottom style="thin">
        <color rgb="00000000"/>
      </bottom>
    </border>
    <border>
      <left style="medium">
        <color rgb="00000000"/>
      </left>
      <right style="medium">
        <color rgb="00000000"/>
      </right>
      <top style="medium">
        <color rgb="00000000"/>
      </top>
      <bottom style="medium">
        <color rgb="0000000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2" fillId="0" borderId="0" pivotButton="0" quotePrefix="0" xfId="0"/>
    <xf numFmtId="164" fontId="3" fillId="0" borderId="1" pivotButton="0" quotePrefix="0" xfId="0"/>
    <xf numFmtId="0" fontId="3" fillId="0" borderId="1" pivotButton="0" quotePrefix="0" xfId="0"/>
    <xf numFmtId="165" fontId="3" fillId="0" borderId="1" pivotButton="0" quotePrefix="0" xfId="0"/>
    <xf numFmtId="0" fontId="3" fillId="0" borderId="1" applyAlignment="1" pivotButton="0" quotePrefix="0" xfId="0">
      <alignment horizontal="center"/>
    </xf>
    <xf numFmtId="0" fontId="3" fillId="0" borderId="2"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pane ySplit="3" topLeftCell="A4" activePane="bottomLeft" state="frozen"/>
      <selection pane="bottomLeft" activeCell="A1" sqref="A1"/>
    </sheetView>
  </sheetViews>
  <sheetFormatPr baseColWidth="8" defaultRowHeight="15"/>
  <cols>
    <col width="8" customWidth="1" min="1" max="1"/>
    <col width="16" customWidth="1" min="2" max="2"/>
    <col width="60" customWidth="1" min="3" max="3"/>
    <col width="42" customWidth="1" min="4" max="4"/>
    <col width="34" customWidth="1" min="5" max="5"/>
    <col width="20" customWidth="1" min="6" max="6"/>
    <col width="9" customWidth="1" min="7" max="7"/>
  </cols>
  <sheetData>
    <row r="1">
      <c r="A1" s="1" t="inlineStr">
        <is>
          <t>Catálogo de métricas de calidad — Sembrando Futuro (documento 23)</t>
        </is>
      </c>
    </row>
    <row r="3">
      <c r="A3" s="2" t="inlineStr">
        <is>
          <t>ID</t>
        </is>
      </c>
      <c r="B3" s="2" t="inlineStr">
        <is>
          <t>Familia</t>
        </is>
      </c>
      <c r="C3" s="2" t="inlineStr">
        <is>
          <t>Métrica y fórmula</t>
        </is>
      </c>
      <c r="D3" s="2" t="inlineStr">
        <is>
          <t>Meta</t>
        </is>
      </c>
      <c r="E3" s="2" t="inlineStr">
        <is>
          <t>Herramienta o fuente</t>
        </is>
      </c>
      <c r="F3" s="2" t="inlineStr">
        <is>
          <t>Cuándo</t>
        </is>
      </c>
      <c r="G3" s="2" t="inlineStr">
        <is>
          <t>Quién</t>
        </is>
      </c>
    </row>
    <row r="4">
      <c r="A4" s="3" t="inlineStr">
        <is>
          <t>M-01</t>
        </is>
      </c>
      <c r="B4" s="3" t="inlineStr">
        <is>
          <t>Producto</t>
        </is>
      </c>
      <c r="C4" s="3" t="inlineStr">
        <is>
          <t>Cumplimiento de requisitos funcionales = RF verificados ÷ 19 × 100</t>
        </is>
      </c>
      <c r="D4" s="3" t="inlineStr">
        <is>
          <t>100 %</t>
        </is>
      </c>
      <c r="E4" s="3" t="inlineStr">
        <is>
          <t>Hoja Plan_Pruebas (documento 14)</t>
        </is>
      </c>
      <c r="F4" s="3" t="inlineStr">
        <is>
          <t>Fin de cada sprint</t>
        </is>
      </c>
      <c r="G4" s="3" t="inlineStr">
        <is>
          <t>M y K</t>
        </is>
      </c>
    </row>
    <row r="5">
      <c r="A5" s="3" t="inlineStr">
        <is>
          <t>M-02</t>
        </is>
      </c>
      <c r="B5" s="3" t="inlineStr">
        <is>
          <t>Producto</t>
        </is>
      </c>
      <c r="C5" s="3" t="inlineStr">
        <is>
          <t>Cumplimiento de requisitos no funcionales = RNF verificados ÷ 12 × 100</t>
        </is>
      </c>
      <c r="D5" s="3" t="inlineStr">
        <is>
          <t>100 %</t>
        </is>
      </c>
      <c r="E5" s="3" t="inlineStr">
        <is>
          <t>Hoja RNF (documento 14)</t>
        </is>
      </c>
      <c r="F5" s="3" t="inlineStr">
        <is>
          <t>Sprint 4</t>
        </is>
      </c>
      <c r="G5" s="3" t="inlineStr">
        <is>
          <t>M y K</t>
        </is>
      </c>
    </row>
    <row r="6">
      <c r="A6" s="3" t="inlineStr">
        <is>
          <t>M-03</t>
        </is>
      </c>
      <c r="B6" s="3" t="inlineStr">
        <is>
          <t>Producto</t>
        </is>
      </c>
      <c r="C6" s="3" t="inlineStr">
        <is>
          <t>Exactitud del cálculo = |valor obtenido − valor esperado| ÷ valor esperado × 100</t>
        </is>
      </c>
      <c r="D6" s="3" t="inlineStr">
        <is>
          <t>≤ 0,0001 % (RNF-22)</t>
        </is>
      </c>
      <c r="E6" s="3" t="inlineStr">
        <is>
          <t>Pruebas unitarias con los valores del documento 19</t>
        </is>
      </c>
      <c r="F6" s="3" t="inlineStr">
        <is>
          <t>Cada cambio de fórmula</t>
        </is>
      </c>
      <c r="G6" s="3" t="inlineStr">
        <is>
          <t>K</t>
        </is>
      </c>
    </row>
    <row r="7">
      <c r="A7" s="3" t="inlineStr">
        <is>
          <t>M-04</t>
        </is>
      </c>
      <c r="B7" s="3" t="inlineStr">
        <is>
          <t>Producto</t>
        </is>
      </c>
      <c r="C7" s="3" t="inlineStr">
        <is>
          <t>Tiempo de respuesta de los cálculos (matas, costos y utilidad)</t>
        </is>
      </c>
      <c r="D7" s="3" t="inlineStr">
        <is>
          <t>≤ 2,0 s en el 95 % de las pruebas (RNF-01)</t>
        </is>
      </c>
      <c r="E7" s="3" t="inlineStr">
        <is>
          <t>performance.now en un equipo de 2 GB de RAM</t>
        </is>
      </c>
      <c r="F7" s="3" t="inlineStr">
        <is>
          <t>Sprints 2 y 4</t>
        </is>
      </c>
      <c r="G7" s="3" t="inlineStr">
        <is>
          <t>K</t>
        </is>
      </c>
    </row>
    <row r="8">
      <c r="A8" s="3" t="inlineStr">
        <is>
          <t>M-05</t>
        </is>
      </c>
      <c r="B8" s="3" t="inlineStr">
        <is>
          <t>Producto</t>
        </is>
      </c>
      <c r="C8" s="3" t="inlineStr">
        <is>
          <t>Accesibilidad visual de todas las pantallas</t>
        </is>
      </c>
      <c r="D8" s="3" t="inlineStr">
        <is>
          <t>WCAG 2.1 AA (RNF-07) y puntaje de accesibilidad de Lighthouse de 90 o más</t>
        </is>
      </c>
      <c r="E8" s="3" t="inlineStr">
        <is>
          <t>Lighthouse y revisión de contraste</t>
        </is>
      </c>
      <c r="F8" s="3" t="inlineStr">
        <is>
          <t>Sprints 2, 3 y 4</t>
        </is>
      </c>
      <c r="G8" s="3" t="inlineStr">
        <is>
          <t>K</t>
        </is>
      </c>
    </row>
    <row r="9">
      <c r="A9" s="3" t="inlineStr">
        <is>
          <t>M-06</t>
        </is>
      </c>
      <c r="B9" s="3" t="inlineStr">
        <is>
          <t>Producto</t>
        </is>
      </c>
      <c r="C9" s="3" t="inlineStr">
        <is>
          <t>Éxito de usabilidad = tareas terminadas sin ayuda ÷ tareas intentadas × 100</t>
        </is>
      </c>
      <c r="D9" s="3" t="inlineStr">
        <is>
          <t>≥ 90 % con al menos 5 agricultores (RNF-05)</t>
        </is>
      </c>
      <c r="E9" s="3" t="inlineStr">
        <is>
          <t>Prueba de usabilidad</t>
        </is>
      </c>
      <c r="F9" s="3" t="inlineStr">
        <is>
          <t>Sprint 4</t>
        </is>
      </c>
      <c r="G9" s="3" t="inlineStr">
        <is>
          <t>K</t>
        </is>
      </c>
    </row>
    <row r="10">
      <c r="A10" s="3" t="inlineStr">
        <is>
          <t>M-07</t>
        </is>
      </c>
      <c r="B10" s="3" t="inlineStr">
        <is>
          <t>Producto</t>
        </is>
      </c>
      <c r="C10" s="3" t="inlineStr">
        <is>
          <t>Vulnerabilidades abiertas de severidad alta o media (inyección SQL y XSS) y tráfico sin cifrar</t>
        </is>
      </c>
      <c r="D10" s="3" t="inlineStr">
        <is>
          <t>0 vulnerabilidades y 100 % del tráfico con HTTPS (TLS 1.2 o superior) (RNF-09, RNF-14)</t>
        </is>
      </c>
      <c r="E10" s="3" t="inlineStr">
        <is>
          <t>OWASP ZAP y SSL Labs</t>
        </is>
      </c>
      <c r="F10" s="3" t="inlineStr">
        <is>
          <t>Sprints 1 y 4</t>
        </is>
      </c>
      <c r="G10" s="3" t="inlineStr">
        <is>
          <t>M</t>
        </is>
      </c>
    </row>
    <row r="11">
      <c r="A11" s="3" t="inlineStr">
        <is>
          <t>M-08</t>
        </is>
      </c>
      <c r="B11" s="3" t="inlineStr">
        <is>
          <t>Producto</t>
        </is>
      </c>
      <c r="C11" s="3" t="inlineStr">
        <is>
          <t>Disponibilidad del servidor = (minutos del mes − minutos sin servicio) ÷ minutos del mes × 100</t>
        </is>
      </c>
      <c r="D11" s="3" t="inlineStr">
        <is>
          <t>≥ 99,0 %, es decir, hasta 7,2 h sin servicio al mes (RNF-10)</t>
        </is>
      </c>
      <c r="E11" s="3" t="inlineStr">
        <is>
          <t>Monitoreo del servicio de producción</t>
        </is>
      </c>
      <c r="F11" s="3" t="inlineStr">
        <is>
          <t>Cada mes en producción</t>
        </is>
      </c>
      <c r="G11" s="3" t="inlineStr">
        <is>
          <t>M</t>
        </is>
      </c>
    </row>
    <row r="12">
      <c r="A12" s="3" t="inlineStr">
        <is>
          <t>M-09</t>
        </is>
      </c>
      <c r="B12" s="3" t="inlineStr">
        <is>
          <t>Pruebas</t>
        </is>
      </c>
      <c r="C12" s="3" t="inlineStr">
        <is>
          <t>Ejecución del plan = casos ejecutados ÷ casos definidos × 100 (229 de caja negra y 28 de caja blanca)</t>
        </is>
      </c>
      <c r="D12" s="3" t="inlineStr">
        <is>
          <t>100 % al cierre</t>
        </is>
      </c>
      <c r="E12" s="3" t="inlineStr">
        <is>
          <t>Documentos 14 y 22</t>
        </is>
      </c>
      <c r="F12" s="3" t="inlineStr">
        <is>
          <t>Fin de cada sprint</t>
        </is>
      </c>
      <c r="G12" s="3" t="inlineStr">
        <is>
          <t>M y K</t>
        </is>
      </c>
    </row>
    <row r="13">
      <c r="A13" s="3" t="inlineStr">
        <is>
          <t>M-10</t>
        </is>
      </c>
      <c r="B13" s="3" t="inlineStr">
        <is>
          <t>Pruebas</t>
        </is>
      </c>
      <c r="C13" s="3" t="inlineStr">
        <is>
          <t>Casos aprobados = casos aprobados ÷ casos ejecutados × 100</t>
        </is>
      </c>
      <c r="D13" s="3" t="inlineStr">
        <is>
          <t>≥ 95 % y cero defectos abiertos de severidad bloqueante, alta o media</t>
        </is>
      </c>
      <c r="E13" s="3" t="inlineStr">
        <is>
          <t>Documentos 14 y 22</t>
        </is>
      </c>
      <c r="F13" s="3" t="inlineStr">
        <is>
          <t>Fin de cada sprint</t>
        </is>
      </c>
      <c r="G13" s="3" t="inlineStr">
        <is>
          <t>M y K</t>
        </is>
      </c>
    </row>
    <row r="14">
      <c r="A14" s="3" t="inlineStr">
        <is>
          <t>M-11</t>
        </is>
      </c>
      <c r="B14" s="3" t="inlineStr">
        <is>
          <t>Pruebas</t>
        </is>
      </c>
      <c r="C14" s="3" t="inlineStr">
        <is>
          <t>Trazabilidad = requisitos funcionales con al menos un caso de prueba ÷ 19 × 100</t>
        </is>
      </c>
      <c r="D14" s="3" t="inlineStr">
        <is>
          <t>100 %</t>
        </is>
      </c>
      <c r="E14" s="3" t="inlineStr">
        <is>
          <t>Matriz de trazabilidad (documento 14)</t>
        </is>
      </c>
      <c r="F14" s="3" t="inlineStr">
        <is>
          <t>Sprint 0 y en cada cambio</t>
        </is>
      </c>
      <c r="G14" s="3" t="inlineStr">
        <is>
          <t>K</t>
        </is>
      </c>
    </row>
    <row r="15">
      <c r="A15" s="3" t="inlineStr">
        <is>
          <t>M-12</t>
        </is>
      </c>
      <c r="B15" s="3" t="inlineStr">
        <is>
          <t>Pruebas</t>
        </is>
      </c>
      <c r="C15" s="3" t="inlineStr">
        <is>
          <t>Densidad de defectos encontrados = defectos registrados en el sprint ÷ KLOC (miles de líneas de código sin comentarios)</t>
        </is>
      </c>
      <c r="D15" s="3" t="inlineStr">
        <is>
          <t>Sin meta fija; debe bajar de un sprint al siguiente</t>
        </is>
      </c>
      <c r="E15" s="3" t="inlineStr">
        <is>
          <t>Registro de defectos y SonarQube</t>
        </is>
      </c>
      <c r="F15" s="3" t="inlineStr">
        <is>
          <t>Fin de cada sprint</t>
        </is>
      </c>
      <c r="G15" s="3" t="inlineStr">
        <is>
          <t>M y K</t>
        </is>
      </c>
    </row>
    <row r="16">
      <c r="A16" s="3" t="inlineStr">
        <is>
          <t>M-13</t>
        </is>
      </c>
      <c r="B16" s="3" t="inlineStr">
        <is>
          <t>Pruebas</t>
        </is>
      </c>
      <c r="C16" s="3" t="inlineStr">
        <is>
          <t>Densidad de defectos residuales = defectos abiertos al cierre, de cualquier severidad, ÷ KLOC</t>
        </is>
      </c>
      <c r="D16" s="3" t="inlineStr">
        <is>
          <t>≤ 1 por KLOC al entregar</t>
        </is>
      </c>
      <c r="E16" s="3" t="inlineStr">
        <is>
          <t>Registro de defectos y SonarQube</t>
        </is>
      </c>
      <c r="F16" s="3" t="inlineStr">
        <is>
          <t>Sprint 4</t>
        </is>
      </c>
      <c r="G16" s="3" t="inlineStr">
        <is>
          <t>M y K</t>
        </is>
      </c>
    </row>
    <row r="17">
      <c r="A17" s="3" t="inlineStr">
        <is>
          <t>M-14</t>
        </is>
      </c>
      <c r="B17" s="3" t="inlineStr">
        <is>
          <t>Pruebas</t>
        </is>
      </c>
      <c r="C17" s="3" t="inlineStr">
        <is>
          <t>Defectos por requisito = defectos del requisito ÷ casos de prueba del requisito</t>
        </is>
      </c>
      <c r="D17" s="3" t="inlineStr">
        <is>
          <t>Informativa: un requisito con más de 2 defectos por caso se revisa de nuevo</t>
        </is>
      </c>
      <c r="E17" s="3" t="inlineStr">
        <is>
          <t>Registro de defectos</t>
        </is>
      </c>
      <c r="F17" s="3" t="inlineStr">
        <is>
          <t>Fin de cada sprint</t>
        </is>
      </c>
      <c r="G17" s="3" t="inlineStr">
        <is>
          <t>M y K</t>
        </is>
      </c>
    </row>
    <row r="18">
      <c r="A18" s="3" t="inlineStr">
        <is>
          <t>M-15</t>
        </is>
      </c>
      <c r="B18" s="3" t="inlineStr">
        <is>
          <t>Código</t>
        </is>
      </c>
      <c r="C18" s="3" t="inlineStr">
        <is>
          <t>Cobertura de sentencias = instrucciones ejecutadas por las pruebas ÷ instrucciones totales × 100</t>
        </is>
      </c>
      <c r="D18" s="3" t="inlineStr">
        <is>
          <t>≥ 80 % en la lógica de negocio y 100 % en las 4 funciones del documento 22</t>
        </is>
      </c>
      <c r="E18" s="3" t="inlineStr">
        <is>
          <t>pytest-cov y la cobertura de node:test</t>
        </is>
      </c>
      <c r="F18" s="3" t="inlineStr">
        <is>
          <t>En cada integración</t>
        </is>
      </c>
      <c r="G18" s="3" t="inlineStr">
        <is>
          <t>M y K</t>
        </is>
      </c>
    </row>
    <row r="19">
      <c r="A19" s="3" t="inlineStr">
        <is>
          <t>M-16</t>
        </is>
      </c>
      <c r="B19" s="3" t="inlineStr">
        <is>
          <t>Código</t>
        </is>
      </c>
      <c r="C19" s="3" t="inlineStr">
        <is>
          <t>Cobertura de ramas = salidas de decisiones ejecutadas ÷ salidas totales × 100</t>
        </is>
      </c>
      <c r="D19" s="3" t="inlineStr">
        <is>
          <t>≥ 80 % en la lógica de negocio y 100 % en las 4 funciones del documento 22</t>
        </is>
      </c>
      <c r="E19" s="3" t="inlineStr">
        <is>
          <t>pytest-cov con --cov-branch y la cobertura de node:test</t>
        </is>
      </c>
      <c r="F19" s="3" t="inlineStr">
        <is>
          <t>En cada integración</t>
        </is>
      </c>
      <c r="G19" s="3" t="inlineStr">
        <is>
          <t>M y K</t>
        </is>
      </c>
    </row>
    <row r="20">
      <c r="A20" s="3" t="inlineStr">
        <is>
          <t>M-17</t>
        </is>
      </c>
      <c r="B20" s="3" t="inlineStr">
        <is>
          <t>Código</t>
        </is>
      </c>
      <c r="C20" s="3" t="inlineStr">
        <is>
          <t>Complejidad ciclomática de cada función (caminos independientes)</t>
        </is>
      </c>
      <c r="D20" s="3" t="inlineStr">
        <is>
          <t>≤ 10</t>
        </is>
      </c>
      <c r="E20" s="3" t="inlineStr">
        <is>
          <t>SonarQube y regla complexity de ESLint</t>
        </is>
      </c>
      <c r="F20" s="3" t="inlineStr">
        <is>
          <t>En cada integración</t>
        </is>
      </c>
      <c r="G20" s="3" t="inlineStr">
        <is>
          <t>M y K</t>
        </is>
      </c>
    </row>
    <row r="21">
      <c r="A21" s="3" t="inlineStr">
        <is>
          <t>M-18</t>
        </is>
      </c>
      <c r="B21" s="3" t="inlineStr">
        <is>
          <t>Código</t>
        </is>
      </c>
      <c r="C21" s="3" t="inlineStr">
        <is>
          <t>Duplicación = líneas repetidas ÷ líneas totales × 100</t>
        </is>
      </c>
      <c r="D21" s="3" t="inlineStr">
        <is>
          <t>≤ 5 %</t>
        </is>
      </c>
      <c r="E21" s="3" t="inlineStr">
        <is>
          <t>SonarQube</t>
        </is>
      </c>
      <c r="F21" s="3" t="inlineStr">
        <is>
          <t>En cada integración</t>
        </is>
      </c>
      <c r="G21" s="3" t="inlineStr">
        <is>
          <t>M y K</t>
        </is>
      </c>
    </row>
    <row r="22">
      <c r="A22" s="3" t="inlineStr">
        <is>
          <t>M-19</t>
        </is>
      </c>
      <c r="B22" s="3" t="inlineStr">
        <is>
          <t>Código</t>
        </is>
      </c>
      <c r="C22" s="3" t="inlineStr">
        <is>
          <t>Errores de estilo del código</t>
        </is>
      </c>
      <c r="D22" s="3" t="inlineStr">
        <is>
          <t>0</t>
        </is>
      </c>
      <c r="E22" s="3" t="inlineStr">
        <is>
          <t>flake8 y ESLint</t>
        </is>
      </c>
      <c r="F22" s="3" t="inlineStr">
        <is>
          <t>En cada integración</t>
        </is>
      </c>
      <c r="G22" s="3" t="inlineStr">
        <is>
          <t>M y K</t>
        </is>
      </c>
    </row>
    <row r="23">
      <c r="A23" s="3" t="inlineStr">
        <is>
          <t>M-20</t>
        </is>
      </c>
      <c r="B23" s="3" t="inlineStr">
        <is>
          <t>Proceso</t>
        </is>
      </c>
      <c r="C23" s="3" t="inlineStr">
        <is>
          <t>Tasa de defectos por hora = defectos que introdujo la persona ÷ horas netas de diseño y programación</t>
        </is>
      </c>
      <c r="D23" s="3" t="inlineStr">
        <is>
          <t>Debe bajar de un sprint al siguiente; no sirve para comparar personas</t>
        </is>
      </c>
      <c r="E23" s="3" t="inlineStr">
        <is>
          <t>Bitácora de tiempos y registro de defectos</t>
        </is>
      </c>
      <c r="F23" s="3" t="inlineStr">
        <is>
          <t>Fin de cada sprint</t>
        </is>
      </c>
      <c r="G23" s="3" t="inlineStr">
        <is>
          <t>M y K</t>
        </is>
      </c>
    </row>
    <row r="24">
      <c r="A24" s="3" t="inlineStr">
        <is>
          <t>M-21</t>
        </is>
      </c>
      <c r="B24" s="3" t="inlineStr">
        <is>
          <t>Proceso</t>
        </is>
      </c>
      <c r="C24" s="3" t="inlineStr">
        <is>
          <t>Defectos hallados por hora de revisión = defectos encontrados en revisiones ÷ horas de revisión</t>
        </is>
      </c>
      <c r="D24" s="3" t="inlineStr">
        <is>
          <t>Informativa: decide cuánto tiempo dedicar a revisar</t>
        </is>
      </c>
      <c r="E24" s="3" t="inlineStr">
        <is>
          <t>Bitácora de tiempos y acta de revisión</t>
        </is>
      </c>
      <c r="F24" s="3" t="inlineStr">
        <is>
          <t>Fin de cada sprint</t>
        </is>
      </c>
      <c r="G24" s="3" t="inlineStr">
        <is>
          <t>M y K</t>
        </is>
      </c>
    </row>
    <row r="25">
      <c r="A25" s="3" t="inlineStr">
        <is>
          <t>M-22</t>
        </is>
      </c>
      <c r="B25" s="3" t="inlineStr">
        <is>
          <t>Proceso</t>
        </is>
      </c>
      <c r="C25" s="3" t="inlineStr">
        <is>
          <t>Desviación del esfuerzo = (horas reales − horas estimadas) ÷ horas estimadas × 100</t>
        </is>
      </c>
      <c r="D25" s="3" t="inlineStr">
        <is>
          <t>Entre −20 % y +20 %</t>
        </is>
      </c>
      <c r="E25" s="3" t="inlineStr">
        <is>
          <t>Bitácora de tiempos y cronograma</t>
        </is>
      </c>
      <c r="F25" s="3" t="inlineStr">
        <is>
          <t>Fin de cada sprint</t>
        </is>
      </c>
      <c r="G25" s="3" t="inlineStr">
        <is>
          <t>M y K</t>
        </is>
      </c>
    </row>
    <row r="26">
      <c r="A26" s="3" t="inlineStr">
        <is>
          <t>M-23</t>
        </is>
      </c>
      <c r="B26" s="3" t="inlineStr">
        <is>
          <t>Proceso</t>
        </is>
      </c>
      <c r="C26" s="3" t="inlineStr">
        <is>
          <t>Cumplimiento del cronograma = tareas terminadas a tiempo ÷ tareas planeadas del sprint × 100</t>
        </is>
      </c>
      <c r="D26" s="3" t="inlineStr">
        <is>
          <t>≥ 80 %</t>
        </is>
      </c>
      <c r="E26" s="3" t="inlineStr">
        <is>
          <t>Columna Estado del cronograma</t>
        </is>
      </c>
      <c r="F26" s="3" t="inlineStr">
        <is>
          <t>Fin de cada sprint</t>
        </is>
      </c>
      <c r="G26" s="3" t="inlineStr">
        <is>
          <t>M y K</t>
        </is>
      </c>
    </row>
    <row r="27">
      <c r="A27" s="3" t="inlineStr">
        <is>
          <t>M-24</t>
        </is>
      </c>
      <c r="B27" s="3" t="inlineStr">
        <is>
          <t>Proceso</t>
        </is>
      </c>
      <c r="C27" s="3" t="inlineStr">
        <is>
          <t>Tiempo de corrección = horas entre el registro del defecto y su estado Verificado</t>
        </is>
      </c>
      <c r="D27" s="3" t="inlineStr">
        <is>
          <t>Dentro del plazo de la tabla de severidad</t>
        </is>
      </c>
      <c r="E27" s="3" t="inlineStr">
        <is>
          <t>Registro de defectos</t>
        </is>
      </c>
      <c r="F27" s="3" t="inlineStr">
        <is>
          <t>Cada defecto</t>
        </is>
      </c>
      <c r="G27" s="3" t="inlineStr">
        <is>
          <t>M y K</t>
        </is>
      </c>
    </row>
    <row r="28">
      <c r="A28" s="3" t="inlineStr">
        <is>
          <t>M-25</t>
        </is>
      </c>
      <c r="B28" s="3" t="inlineStr">
        <is>
          <t>Proceso</t>
        </is>
      </c>
      <c r="C28" s="3" t="inlineStr">
        <is>
          <t>Revisión formal = puntos cumplidos del acta ÷ 17 × 100</t>
        </is>
      </c>
      <c r="D28" s="3" t="inlineStr">
        <is>
          <t>100 % al cerrar los sprints 0 y 4</t>
        </is>
      </c>
      <c r="E28" s="3" t="inlineStr">
        <is>
          <t>Acta de revisión (documento 16)</t>
        </is>
      </c>
      <c r="F28" s="3" t="inlineStr">
        <is>
          <t>Sprints 0 y 4</t>
        </is>
      </c>
      <c r="G28" s="3" t="inlineStr">
        <is>
          <t>M y 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3" topLeftCell="A4" activePane="bottomLeft" state="frozen"/>
      <selection pane="bottomLeft" activeCell="A1" sqref="A1"/>
    </sheetView>
  </sheetViews>
  <sheetFormatPr baseColWidth="8" defaultRowHeight="15"/>
  <cols>
    <col width="7" customWidth="1" min="1" max="1"/>
    <col width="46" customWidth="1" min="2" max="2"/>
    <col width="34" customWidth="1" min="3" max="3"/>
    <col width="48" customWidth="1" min="4" max="4"/>
    <col width="16" customWidth="1" min="5" max="5"/>
    <col width="42" customWidth="1" min="6" max="6"/>
    <col width="52" customWidth="1" min="7" max="7"/>
  </cols>
  <sheetData>
    <row r="1">
      <c r="A1" s="1" t="inlineStr">
        <is>
          <t>Mediciones automáticas — 28 de octubre de 2026 (entorno de desarrollo)</t>
        </is>
      </c>
    </row>
    <row r="2">
      <c r="A2" t="inlineStr">
        <is>
          <t>Solo lo que se pudo medir con pruebas y herramientas. Las métricas de tiempo, personas y servidor publicado quedan vacías: son datos reales del equipo (bitácoras PSP, acta, monitoreo).</t>
        </is>
      </c>
    </row>
    <row r="3">
      <c r="A3" s="2" t="inlineStr">
        <is>
          <t>ID</t>
        </is>
      </c>
      <c r="B3" s="2" t="inlineStr">
        <is>
          <t>Métrica</t>
        </is>
      </c>
      <c r="C3" s="2" t="inlineStr">
        <is>
          <t>Meta</t>
        </is>
      </c>
      <c r="D3" s="2" t="inlineStr">
        <is>
          <t>Valor medido</t>
        </is>
      </c>
      <c r="E3" s="2" t="inlineStr">
        <is>
          <t>¿Cumple?</t>
        </is>
      </c>
      <c r="F3" s="2" t="inlineStr">
        <is>
          <t>Cómo se midió</t>
        </is>
      </c>
      <c r="G3" s="2" t="inlineStr">
        <is>
          <t>Limitación u observación</t>
        </is>
      </c>
    </row>
    <row r="4">
      <c r="A4" s="3" t="inlineStr">
        <is>
          <t>M-01</t>
        </is>
      </c>
      <c r="B4" s="3" t="inlineStr">
        <is>
          <t>Cumplimiento de requisitos funcionales = RF verificados ÷ 19 × 100</t>
        </is>
      </c>
      <c r="C4" s="3" t="inlineStr">
        <is>
          <t>Cumplimiento de requisitos funcionales = RF verificados ÷ 19 × 100</t>
        </is>
      </c>
      <c r="D4" s="3" t="inlineStr">
        <is>
          <t>19 de 19 RF verificados (100 %)</t>
        </is>
      </c>
      <c r="E4" s="3" t="inlineStr">
        <is>
          <t>Sí</t>
        </is>
      </c>
      <c r="F4" s="3" t="inlineStr">
        <is>
          <t>Hoja Plan_Pruebas del documento 14: un requisito cuenta si todos sus casos están «Aprobado»</t>
        </is>
      </c>
      <c r="G4" s="3" t="inlineStr">
        <is>
          <t>Los 19 RF tienen todos sus casos aprobados. Los casos de formato y de navegador se ejecutaron en Chromium; falta repetirlos en los teléfonos reales.</t>
        </is>
      </c>
    </row>
    <row r="5">
      <c r="A5" s="3" t="inlineStr">
        <is>
          <t>M-02</t>
        </is>
      </c>
      <c r="B5" s="3" t="inlineStr">
        <is>
          <t>Cumplimiento de requisitos no funcionales = RNF verificados ÷ 12 × 100</t>
        </is>
      </c>
      <c r="C5" s="3" t="inlineStr">
        <is>
          <t>Cumplimiento de requisitos no funcionales = RNF verificados ÷ 12 × 100</t>
        </is>
      </c>
      <c r="D5" s="3" t="inlineStr">
        <is>
          <t>6 de 12 RNF verificados (50 %)</t>
        </is>
      </c>
      <c r="E5" s="3" t="inlineStr">
        <is>
          <t>No</t>
        </is>
      </c>
      <c r="F5" s="3" t="inlineStr">
        <is>
          <t>Hoja Plan_Pruebas: RNF-11, 15, 16, 17, 22 y 25 aprobados</t>
        </is>
      </c>
      <c r="G5" s="3" t="inlineStr">
        <is>
          <t>Los otros 6 (RNF-01, 05, 07, 09, 10 y 14) quedan «Pendiente» porque piden una herramienta o a personas: equipo de 2 GB, 5 agricultores, Lighthouse, OWASP ZAP, monitoreo mensual y SSL Labs.</t>
        </is>
      </c>
    </row>
    <row r="6">
      <c r="A6" s="3" t="inlineStr">
        <is>
          <t>M-03</t>
        </is>
      </c>
      <c r="B6" s="3" t="inlineStr">
        <is>
          <t>Exactitud del cálculo = |valor obtenido − valor esperado| ÷ valor esperado × 100</t>
        </is>
      </c>
      <c r="C6" s="3" t="inlineStr">
        <is>
          <t>Exactitud del cálculo = |valor obtenido − valor esperado| ÷ valor esperado × 100</t>
        </is>
      </c>
      <c r="D6" s="3" t="inlineStr">
        <is>
          <t>0,000094 % de error relativo máximo (7 cálculos)</t>
        </is>
      </c>
      <c r="E6" s="3" t="inlineStr">
        <is>
          <t>Sí</t>
        </is>
      </c>
      <c r="F6" s="3" t="inlineStr">
        <is>
          <t>Prueba test_CP_RNF_22 contra los valores oráculo del plan</t>
        </is>
      </c>
      <c r="G6" s="3" t="inlineStr">
        <is>
          <t>El mayor error es el del tresbolillo: el servidor redondea a 2 decimales (1.283,00 frente a 1.283,0012).</t>
        </is>
      </c>
    </row>
    <row r="7">
      <c r="A7" s="3" t="inlineStr">
        <is>
          <t>M-04</t>
        </is>
      </c>
      <c r="B7" s="3" t="inlineStr">
        <is>
          <t>Tiempo de respuesta de los cálculos (matas, costos y utilidad)</t>
        </is>
      </c>
      <c r="C7" s="3" t="inlineStr">
        <is>
          <t>Tiempo de respuesta de los cálculos (matas, costos y utilidad)</t>
        </is>
      </c>
      <c r="D7" s="3" t="inlineStr">
        <is>
          <t>p95 = 3 ms y máximo = 4 ms en 20 cálculos</t>
        </is>
      </c>
      <c r="E7" s="3" t="inlineStr">
        <is>
          <t>Sí, solo en desarrollo</t>
        </is>
      </c>
      <c r="F7" s="3" t="inlineStr">
        <is>
          <t>performance.now() en Chromium sin pantalla con el procesador 4 veces más lento (e2e_plan.cjs)</t>
        </is>
      </c>
      <c r="G7" s="3" t="inlineStr">
        <is>
          <t>No es el equipo de 2 GB de RAM de la meta: falta repetirlo en un teléfono real.</t>
        </is>
      </c>
    </row>
    <row r="8">
      <c r="A8" s="3" t="inlineStr">
        <is>
          <t>M-05</t>
        </is>
      </c>
      <c r="B8" s="3" t="inlineStr">
        <is>
          <t>Accesibilidad visual de todas las pantallas</t>
        </is>
      </c>
      <c r="C8" s="3" t="inlineStr">
        <is>
          <t>Accesibilidad visual de todas las pantallas</t>
        </is>
      </c>
      <c r="D8" s="3" t="inlineStr">
        <is>
          <t>0 textos menores de 16 px, 0 controles menores de 48 × 48 px y 0 contrastes menores de 4,5:1 en 7 pantallas; 29 etiquetas de 16 px (navegación, indicadores, marcos)</t>
        </is>
      </c>
      <c r="E8" s="3" t="inlineStr">
        <is>
          <t>Parcial</t>
        </is>
      </c>
      <c r="F8" s="3" t="inlineStr">
        <is>
          <t>Medición con JavaScript en el navegador (e2e_plan.cjs)</t>
        </is>
      </c>
      <c r="G8" s="3" t="inlineStr">
        <is>
          <t>Faltan el puntaje de Lighthouse (90 o más) y la revisión manual de WCAG 2.1 AA.</t>
        </is>
      </c>
    </row>
    <row r="9">
      <c r="A9" s="3" t="inlineStr">
        <is>
          <t>M-06</t>
        </is>
      </c>
      <c r="B9" s="3" t="inlineStr">
        <is>
          <t>Éxito de usabilidad = tareas terminadas sin ayuda ÷ tareas intentadas × 100</t>
        </is>
      </c>
      <c r="C9" s="3" t="inlineStr">
        <is>
          <t>Éxito de usabilidad = tareas terminadas sin ayuda ÷ tareas intentadas × 100</t>
        </is>
      </c>
      <c r="D9" s="3" t="n"/>
      <c r="E9" s="3" t="n"/>
      <c r="F9" s="3" t="inlineStr">
        <is>
          <t>Prueba con al menos 5 agricultores</t>
        </is>
      </c>
      <c r="G9" s="3" t="inlineStr">
        <is>
          <t>Dato del equipo: se llena después de la prueba con personas.</t>
        </is>
      </c>
    </row>
    <row r="10">
      <c r="A10" s="3" t="inlineStr">
        <is>
          <t>M-07</t>
        </is>
      </c>
      <c r="B10" s="3" t="inlineStr">
        <is>
          <t>Vulnerabilidades abiertas de severidad alta o media (inyección SQL y XSS) y tráfico sin cifrar</t>
        </is>
      </c>
      <c r="C10" s="3" t="inlineStr">
        <is>
          <t>Vulnerabilidades abiertas de severidad alta o media (inyección SQL y XSS) y tráfico sin cifrar</t>
        </is>
      </c>
      <c r="D10" s="3" t="inlineStr">
        <is>
          <t>0 consultas con datos del usuario escritas a mano (todo pasa por el ORM); inyección de código rechazada en formularios y servidor</t>
        </is>
      </c>
      <c r="E10" s="3" t="inlineStr">
        <is>
          <t>Parcial</t>
        </is>
      </c>
      <c r="F10" s="3" t="inlineStr">
        <is>
          <t>Revisión del código y pruebas CP-RNF-09 y CP-RNF-14</t>
        </is>
      </c>
      <c r="G10" s="3" t="inlineStr">
        <is>
          <t>Faltan OWASP ZAP y SSL Labs, que se ejecutan contra el sitio publicado.</t>
        </is>
      </c>
    </row>
    <row r="11">
      <c r="A11" s="3" t="inlineStr">
        <is>
          <t>M-08</t>
        </is>
      </c>
      <c r="B11" s="3" t="inlineStr">
        <is>
          <t>Disponibilidad del servidor = (minutos del mes − minutos sin servicio) ÷ minutos del mes × 100</t>
        </is>
      </c>
      <c r="C11" s="3" t="inlineStr">
        <is>
          <t>Disponibilidad del servidor = (minutos del mes − minutos sin servicio) ÷ minutos del mes × 100</t>
        </is>
      </c>
      <c r="D11" s="3" t="n"/>
      <c r="E11" s="3" t="n"/>
      <c r="F11" s="3" t="inlineStr">
        <is>
          <t>Monitoreo del servicio publicado</t>
        </is>
      </c>
      <c r="G11" s="3" t="inlineStr">
        <is>
          <t>Dato del equipo: se mide durante un mes con el servidor en Render.</t>
        </is>
      </c>
    </row>
    <row r="12">
      <c r="A12" s="3" t="inlineStr">
        <is>
          <t>M-09</t>
        </is>
      </c>
      <c r="B12" s="3" t="inlineStr">
        <is>
          <t>Ejecución del plan = casos ejecutados ÷ casos definidos × 100 (229 de caja negra y 28 de caja blanca)</t>
        </is>
      </c>
      <c r="C12" s="3" t="inlineStr">
        <is>
          <t>Ejecución del plan = casos ejecutados ÷ casos definidos × 100 (229 de caja negra y 28 de caja blanca)</t>
        </is>
      </c>
      <c r="D12" s="3" t="inlineStr">
        <is>
          <t>247 de 257 casos ejecutados (96,1 %): 219 de 229 de caja negra y 28 de 28 de caja blanca</t>
        </is>
      </c>
      <c r="E12" s="3" t="inlineStr">
        <is>
          <t>No</t>
        </is>
      </c>
      <c r="F12" s="3" t="inlineStr">
        <is>
          <t>Documentos 14 y 22 (scripts/rellenar_plan.py)</t>
        </is>
      </c>
      <c r="G12" s="3" t="inlineStr">
        <is>
          <t>Los 10 casos pendientes necesitan herramientas o personas (ver M-02 y las bitácoras PSP).</t>
        </is>
      </c>
    </row>
    <row r="13">
      <c r="A13" s="3" t="inlineStr">
        <is>
          <t>M-10</t>
        </is>
      </c>
      <c r="B13" s="3" t="inlineStr">
        <is>
          <t>Casos aprobados = casos aprobados ÷ casos ejecutados × 100</t>
        </is>
      </c>
      <c r="C13" s="3" t="inlineStr">
        <is>
          <t>Casos aprobados = casos aprobados ÷ casos ejecutados × 100</t>
        </is>
      </c>
      <c r="D13" s="3" t="inlineStr">
        <is>
          <t>247 aprobados de 247 ejecutados (100 %); 0 fallidos</t>
        </is>
      </c>
      <c r="E13" s="3" t="inlineStr">
        <is>
          <t>Sí</t>
        </is>
      </c>
      <c r="F13" s="3" t="inlineStr">
        <is>
          <t>Documentos 14 y 22</t>
        </is>
      </c>
      <c r="G13" s="3" t="inlineStr">
        <is>
          <t>Se hallaron y corrigieron 5 defectos durante la ejecución (hoja Registro_Defectos); ninguno queda abierto.</t>
        </is>
      </c>
    </row>
    <row r="14">
      <c r="A14" s="3" t="inlineStr">
        <is>
          <t>M-11</t>
        </is>
      </c>
      <c r="B14" s="3" t="inlineStr">
        <is>
          <t>Trazabilidad = requisitos funcionales con al menos un caso de prueba ÷ 19 × 100</t>
        </is>
      </c>
      <c r="C14" s="3" t="inlineStr">
        <is>
          <t>Trazabilidad = requisitos funcionales con al menos un caso de prueba ÷ 19 × 100</t>
        </is>
      </c>
      <c r="D14" s="3" t="inlineStr">
        <is>
          <t>19 de 19 RF con al menos un caso (100 %)</t>
        </is>
      </c>
      <c r="E14" s="3" t="inlineStr">
        <is>
          <t>Sí</t>
        </is>
      </c>
      <c r="F14" s="3" t="inlineStr">
        <is>
          <t>Matriz de trazabilidad del documento 14</t>
        </is>
      </c>
      <c r="G14" s="3" t="n"/>
    </row>
    <row r="15">
      <c r="A15" s="3" t="inlineStr">
        <is>
          <t>M-12</t>
        </is>
      </c>
      <c r="B15" s="3" t="inlineStr">
        <is>
          <t>Densidad de defectos encontrados = defectos registrados en el sprint ÷ KLOC (miles de líneas de código sin comentarios)</t>
        </is>
      </c>
      <c r="C15" s="3" t="inlineStr">
        <is>
          <t>Densidad de defectos encontrados = defectos registrados en el sprint ÷ KLOC (miles de líneas de código sin comentarios)</t>
        </is>
      </c>
      <c r="D15" s="3" t="inlineStr">
        <is>
          <t>5 defectos ÷ 3,8 KLOC = 1,3 por KLOC</t>
        </is>
      </c>
      <c r="E15" s="3" t="inlineStr">
        <is>
          <t>Informativa</t>
        </is>
      </c>
      <c r="F15" s="3" t="inlineStr">
        <is>
          <t>Hoja Registro_Defectos y conteo de líneas (2.383 de servidor y 1.449 de dispositivo, sin comentarios ni líneas vacías)</t>
        </is>
      </c>
      <c r="G15" s="3" t="inlineStr">
        <is>
          <t>Es la primera medición: sirve de base para comparar con el siguiente sprint.</t>
        </is>
      </c>
    </row>
    <row r="16">
      <c r="A16" s="3" t="inlineStr">
        <is>
          <t>M-13</t>
        </is>
      </c>
      <c r="B16" s="3" t="inlineStr">
        <is>
          <t>Densidad de defectos residuales = defectos abiertos al cierre, de cualquier severidad, ÷ KLOC</t>
        </is>
      </c>
      <c r="C16" s="3" t="inlineStr">
        <is>
          <t>Densidad de defectos residuales = defectos abiertos al cierre, de cualquier severidad, ÷ KLOC</t>
        </is>
      </c>
      <c r="D16" s="3" t="inlineStr">
        <is>
          <t>0 defectos abiertos ÷ 3,8 KLOC = 0 por KLOC</t>
        </is>
      </c>
      <c r="E16" s="3" t="inlineStr">
        <is>
          <t>Sí</t>
        </is>
      </c>
      <c r="F16" s="3" t="inlineStr">
        <is>
          <t>Hoja Registro_Defectos</t>
        </is>
      </c>
      <c r="G16" s="3" t="inlineStr">
        <is>
          <t>Cuenta los defectos hallados con este plan; si aparecen más en la sustentación, hay que registrarlos.</t>
        </is>
      </c>
    </row>
    <row r="17">
      <c r="A17" s="3" t="inlineStr">
        <is>
          <t>M-14</t>
        </is>
      </c>
      <c r="B17" s="3" t="inlineStr">
        <is>
          <t>Defectos por requisito = defectos del requisito ÷ casos de prueba del requisito</t>
        </is>
      </c>
      <c r="C17" s="3" t="inlineStr">
        <is>
          <t>Defectos por requisito = defectos del requisito ÷ casos de prueba del requisito</t>
        </is>
      </c>
      <c r="D17" s="3" t="inlineStr">
        <is>
          <t>Informativa: RF-13, RF-28, RF-04 y RNF-07 tuvieron 1 defecto cada uno; los demás 0</t>
        </is>
      </c>
      <c r="E17" s="3" t="inlineStr">
        <is>
          <t>Informativa</t>
        </is>
      </c>
      <c r="F17" s="3" t="inlineStr">
        <is>
          <t>Hoja Registro_Defectos y casos del plan</t>
        </is>
      </c>
      <c r="G17" s="3" t="n"/>
    </row>
    <row r="18">
      <c r="A18" s="3" t="inlineStr">
        <is>
          <t>M-15</t>
        </is>
      </c>
      <c r="B18" s="3" t="inlineStr">
        <is>
          <t>Cobertura de sentencias = instrucciones ejecutadas por las pruebas ÷ instrucciones totales × 100</t>
        </is>
      </c>
      <c r="C18" s="3" t="inlineStr">
        <is>
          <t>Cobertura de sentencias = instrucciones ejecutadas por las pruebas ÷ instrucciones totales × 100</t>
        </is>
      </c>
      <c r="D18" s="3" t="inlineStr">
        <is>
          <t>Servidor: 96,8 % de líneas (2.183 de 2.256). Dispositivo: 100 % de líneas en los módulos de cálculo (formulas.js, validaciones.js, formato.js).</t>
        </is>
      </c>
      <c r="E18" s="3" t="inlineStr">
        <is>
          <t>Sí</t>
        </is>
      </c>
      <c r="F18" s="3" t="inlineStr">
        <is>
          <t>Servidor: medición propia con sys.monitoring; dispositivo: node --test --experimental-test-coverage</t>
        </is>
      </c>
      <c r="G18" s="3" t="inlineStr">
        <is>
          <t>Aproximada: pytest-cov no está instalado en el entorno de desarrollo; el número oficial sale de la integración continua.</t>
        </is>
      </c>
    </row>
    <row r="19">
      <c r="A19" s="3" t="inlineStr">
        <is>
          <t>M-16</t>
        </is>
      </c>
      <c r="B19" s="3" t="inlineStr">
        <is>
          <t>Cobertura de ramas = salidas de decisiones ejecutadas ÷ salidas totales × 100</t>
        </is>
      </c>
      <c r="C19" s="3" t="inlineStr">
        <is>
          <t>Cobertura de ramas = salidas de decisiones ejecutadas ÷ salidas totales × 100</t>
        </is>
      </c>
      <c r="D19" s="3" t="inlineStr">
        <is>
          <t>Servidor: 85,0 % de ramas (860 de 1.012). domain/validaciones.py 89,1 %; acceso.py 91,2 %; formulas.py 97,6 %. Dispositivo: 92,2 % de ramas.</t>
        </is>
      </c>
      <c r="E19" s="3" t="inlineStr">
        <is>
          <t>Sí</t>
        </is>
      </c>
      <c r="F19" s="3" t="inlineStr">
        <is>
          <t>Servidor: medición propia con eventos de ramas de sys.monitoring; dispositivo: node:test</t>
        </is>
      </c>
      <c r="G19" s="3" t="inlineStr">
        <is>
          <t>Aproximada (cuenta cada operando de las condiciones compuestas). El 100 % de decisiones de las 4 funciones se logra por diseño con los 28 casos CB-xx, que pasan.</t>
        </is>
      </c>
    </row>
    <row r="20">
      <c r="A20" s="3" t="inlineStr">
        <is>
          <t>M-17</t>
        </is>
      </c>
      <c r="B20" s="3" t="inlineStr">
        <is>
          <t>Complejidad ciclomática de cada función (caminos independientes)</t>
        </is>
      </c>
      <c r="C20" s="3" t="inlineStr">
        <is>
          <t>Complejidad ciclomática de cada función (caminos independientes)</t>
        </is>
      </c>
      <c r="D20" s="3" t="inlineStr">
        <is>
          <t>Servidor: máximo 9 (iniciar_sesion y _validar_ciclo_cultivo). Dispositivo: ninguna función pasa de 10.</t>
        </is>
      </c>
      <c r="E20" s="3" t="inlineStr">
        <is>
          <t>Sí</t>
        </is>
      </c>
      <c r="F20" s="3" t="inlineStr">
        <is>
          <t>Servidor: conteo de if, for, while y except con ast; dispositivo: cc.mjs con acorn (regla de ESLint equivalente)</t>
        </is>
      </c>
      <c r="G20" s="3" t="inlineStr">
        <is>
          <t>Aproximada: flake8, ESLint y SonarQube no se pudieron instalar en el entorno de desarrollo.</t>
        </is>
      </c>
    </row>
    <row r="21">
      <c r="A21" s="3" t="inlineStr">
        <is>
          <t>M-18</t>
        </is>
      </c>
      <c r="B21" s="3" t="inlineStr">
        <is>
          <t>Duplicación = líneas repetidas ÷ líneas totales × 100</t>
        </is>
      </c>
      <c r="C21" s="3" t="inlineStr">
        <is>
          <t>Duplicación = líneas repetidas ÷ líneas totales × 100</t>
        </is>
      </c>
      <c r="D21" s="3" t="n"/>
      <c r="E21" s="3" t="n"/>
      <c r="F21" s="3" t="inlineStr">
        <is>
          <t>SonarCloud en la integración continua</t>
        </is>
      </c>
      <c r="G21" s="3" t="inlineStr">
        <is>
          <t>Aún no se mide: requiere SONAR_TOKEN y la organización.</t>
        </is>
      </c>
    </row>
    <row r="22">
      <c r="A22" s="3" t="inlineStr">
        <is>
          <t>M-19</t>
        </is>
      </c>
      <c r="B22" s="3" t="inlineStr">
        <is>
          <t>Errores de estilo del código</t>
        </is>
      </c>
      <c r="C22" s="3" t="inlineStr">
        <is>
          <t>Errores de estilo del código</t>
        </is>
      </c>
      <c r="D22" s="3" t="n"/>
      <c r="E22" s="3" t="n"/>
      <c r="F22" s="3" t="inlineStr">
        <is>
          <t>flake8 y ESLint en la integración continua</t>
        </is>
      </c>
      <c r="G22" s="3" t="inlineStr">
        <is>
          <t>Aún no se mide: las herramientas no se pudieron instalar en el entorno de desarrollo (sin red). Se revisaron a mano los imports sin usar, el largo de línea y la complejidad.</t>
        </is>
      </c>
    </row>
    <row r="23">
      <c r="A23" s="3" t="inlineStr">
        <is>
          <t>M-20</t>
        </is>
      </c>
      <c r="B23" s="3" t="inlineStr">
        <is>
          <t>Tasa de defectos por hora = defectos que introdujo la persona ÷ horas netas de diseño y programación</t>
        </is>
      </c>
      <c r="C23" s="3" t="inlineStr">
        <is>
          <t>Tasa de defectos por hora = defectos que introdujo la persona ÷ horas netas de diseño y programación</t>
        </is>
      </c>
      <c r="D23" s="3" t="n"/>
      <c r="E23" s="3" t="n"/>
      <c r="F23" s="3" t="inlineStr">
        <is>
          <t>Bitácora de tiempos (PSP), registro de defectos, cronograma y acta de revisión</t>
        </is>
      </c>
      <c r="G23" s="3" t="inlineStr">
        <is>
          <t>Dato del equipo: se llena durante los sprints. No se inventan tiempos.</t>
        </is>
      </c>
    </row>
    <row r="24">
      <c r="A24" s="3" t="inlineStr">
        <is>
          <t>M-21</t>
        </is>
      </c>
      <c r="B24" s="3" t="inlineStr">
        <is>
          <t>Defectos hallados por hora de revisión = defectos encontrados en revisiones ÷ horas de revisión</t>
        </is>
      </c>
      <c r="C24" s="3" t="inlineStr">
        <is>
          <t>Defectos hallados por hora de revisión = defectos encontrados en revisiones ÷ horas de revisión</t>
        </is>
      </c>
      <c r="D24" s="3" t="n"/>
      <c r="E24" s="3" t="n"/>
      <c r="F24" s="3" t="inlineStr">
        <is>
          <t>Bitácora de tiempos (PSP), registro de defectos, cronograma y acta de revisión</t>
        </is>
      </c>
      <c r="G24" s="3" t="inlineStr">
        <is>
          <t>Dato del equipo: se llena durante los sprints. No se inventan tiempos.</t>
        </is>
      </c>
    </row>
    <row r="25">
      <c r="A25" s="3" t="inlineStr">
        <is>
          <t>M-22</t>
        </is>
      </c>
      <c r="B25" s="3" t="inlineStr">
        <is>
          <t>Desviación del esfuerzo = (horas reales − horas estimadas) ÷ horas estimadas × 100</t>
        </is>
      </c>
      <c r="C25" s="3" t="inlineStr">
        <is>
          <t>Desviación del esfuerzo = (horas reales − horas estimadas) ÷ horas estimadas × 100</t>
        </is>
      </c>
      <c r="D25" s="3" t="n"/>
      <c r="E25" s="3" t="n"/>
      <c r="F25" s="3" t="inlineStr">
        <is>
          <t>Bitácora de tiempos (PSP), registro de defectos, cronograma y acta de revisión</t>
        </is>
      </c>
      <c r="G25" s="3" t="inlineStr">
        <is>
          <t>Dato del equipo: se llena durante los sprints. No se inventan tiempos.</t>
        </is>
      </c>
    </row>
    <row r="26">
      <c r="A26" s="3" t="inlineStr">
        <is>
          <t>M-23</t>
        </is>
      </c>
      <c r="B26" s="3" t="inlineStr">
        <is>
          <t>Cumplimiento del cronograma = tareas terminadas a tiempo ÷ tareas planeadas del sprint × 100</t>
        </is>
      </c>
      <c r="C26" s="3" t="inlineStr">
        <is>
          <t>Cumplimiento del cronograma = tareas terminadas a tiempo ÷ tareas planeadas del sprint × 100</t>
        </is>
      </c>
      <c r="D26" s="3" t="n"/>
      <c r="E26" s="3" t="n"/>
      <c r="F26" s="3" t="inlineStr">
        <is>
          <t>Bitácora de tiempos (PSP), registro de defectos, cronograma y acta de revisión</t>
        </is>
      </c>
      <c r="G26" s="3" t="inlineStr">
        <is>
          <t>Dato del equipo: se llena durante los sprints. No se inventan tiempos.</t>
        </is>
      </c>
    </row>
    <row r="27">
      <c r="A27" s="3" t="inlineStr">
        <is>
          <t>M-24</t>
        </is>
      </c>
      <c r="B27" s="3" t="inlineStr">
        <is>
          <t>Tiempo de corrección = horas entre el registro del defecto y su estado Verificado</t>
        </is>
      </c>
      <c r="C27" s="3" t="inlineStr">
        <is>
          <t>Tiempo de corrección = horas entre el registro del defecto y su estado Verificado</t>
        </is>
      </c>
      <c r="D27" s="3" t="n"/>
      <c r="E27" s="3" t="n"/>
      <c r="F27" s="3" t="inlineStr">
        <is>
          <t>Bitácora de tiempos (PSP), registro de defectos, cronograma y acta de revisión</t>
        </is>
      </c>
      <c r="G27" s="3" t="inlineStr">
        <is>
          <t>Dato del equipo: se llena durante los sprints. No se inventan tiempos.</t>
        </is>
      </c>
    </row>
    <row r="28">
      <c r="A28" s="3" t="inlineStr">
        <is>
          <t>M-25</t>
        </is>
      </c>
      <c r="B28" s="3" t="inlineStr">
        <is>
          <t>Revisión formal = puntos cumplidos del acta ÷ 17 × 100</t>
        </is>
      </c>
      <c r="C28" s="3" t="inlineStr">
        <is>
          <t>Revisión formal = puntos cumplidos del acta ÷ 17 × 100</t>
        </is>
      </c>
      <c r="D28" s="3" t="n"/>
      <c r="E28" s="3" t="n"/>
      <c r="F28" s="3" t="inlineStr">
        <is>
          <t>Bitácora de tiempos (PSP), registro de defectos, cronograma y acta de revisión</t>
        </is>
      </c>
      <c r="G28" s="3" t="inlineStr">
        <is>
          <t>Dato del equipo: se llena durante los sprints. No se inventan tiempos.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3"/>
  <sheetViews>
    <sheetView workbookViewId="0">
      <pane ySplit="3" topLeftCell="A4" activePane="bottomLeft" state="frozen"/>
      <selection pane="bottomLeft" activeCell="A1" sqref="A1"/>
    </sheetView>
  </sheetViews>
  <sheetFormatPr baseColWidth="8" defaultRowHeight="15"/>
  <cols>
    <col width="12" customWidth="1" min="1" max="1"/>
    <col width="8" customWidth="1" min="2" max="2"/>
    <col width="18" customWidth="1" min="3" max="3"/>
    <col width="18" customWidth="1" min="4" max="4"/>
    <col width="9" customWidth="1" min="5" max="5"/>
    <col width="9" customWidth="1" min="6" max="6"/>
    <col width="16" customWidth="1" min="7" max="7"/>
    <col width="16" customWidth="1" min="8" max="8"/>
  </cols>
  <sheetData>
    <row r="1">
      <c r="A1" s="4" t="inlineStr">
        <is>
          <t>Bitácora de tiempos (PSP). Anote cada bloque de trabajo; el tiempo neto se calcula solo.</t>
        </is>
      </c>
    </row>
    <row r="3">
      <c r="A3" s="2" t="inlineStr">
        <is>
          <t>Fecha</t>
        </is>
      </c>
      <c r="B3" s="2" t="inlineStr">
        <is>
          <t>Sprint</t>
        </is>
      </c>
      <c r="C3" s="2" t="inlineStr">
        <is>
          <t>Integrante</t>
        </is>
      </c>
      <c r="D3" s="2" t="inlineStr">
        <is>
          <t>Actividad</t>
        </is>
      </c>
      <c r="E3" s="2" t="inlineStr">
        <is>
          <t>Inicio</t>
        </is>
      </c>
      <c r="F3" s="2" t="inlineStr">
        <is>
          <t>Fin</t>
        </is>
      </c>
      <c r="G3" s="2" t="inlineStr">
        <is>
          <t>Interrupción (min)</t>
        </is>
      </c>
      <c r="H3" s="2" t="inlineStr">
        <is>
          <t>Tiempo neto (min)</t>
        </is>
      </c>
    </row>
    <row r="4">
      <c r="A4" s="5" t="n"/>
      <c r="B4" s="6" t="n"/>
      <c r="C4" s="6" t="n"/>
      <c r="D4" s="6" t="n"/>
      <c r="E4" s="7" t="n"/>
      <c r="F4" s="7" t="n"/>
      <c r="G4" s="6" t="n"/>
      <c r="H4" s="6">
        <f>IF(OR(E4="",F4=""),"",ROUND((F4-E4)*1440-N(G4),0))</f>
        <v/>
      </c>
    </row>
    <row r="5">
      <c r="A5" s="5" t="n"/>
      <c r="B5" s="6" t="n"/>
      <c r="C5" s="6" t="n"/>
      <c r="D5" s="6" t="n"/>
      <c r="E5" s="7" t="n"/>
      <c r="F5" s="7" t="n"/>
      <c r="G5" s="6" t="n"/>
      <c r="H5" s="6">
        <f>IF(OR(E5="",F5=""),"",ROUND((F5-E5)*1440-N(G5),0))</f>
        <v/>
      </c>
    </row>
    <row r="6">
      <c r="A6" s="5" t="n"/>
      <c r="B6" s="6" t="n"/>
      <c r="C6" s="6" t="n"/>
      <c r="D6" s="6" t="n"/>
      <c r="E6" s="7" t="n"/>
      <c r="F6" s="7" t="n"/>
      <c r="G6" s="6" t="n"/>
      <c r="H6" s="6">
        <f>IF(OR(E6="",F6=""),"",ROUND((F6-E6)*1440-N(G6),0))</f>
        <v/>
      </c>
    </row>
    <row r="7">
      <c r="A7" s="5" t="n"/>
      <c r="B7" s="6" t="n"/>
      <c r="C7" s="6" t="n"/>
      <c r="D7" s="6" t="n"/>
      <c r="E7" s="7" t="n"/>
      <c r="F7" s="7" t="n"/>
      <c r="G7" s="6" t="n"/>
      <c r="H7" s="6">
        <f>IF(OR(E7="",F7=""),"",ROUND((F7-E7)*1440-N(G7),0))</f>
        <v/>
      </c>
    </row>
    <row r="8">
      <c r="A8" s="5" t="n"/>
      <c r="B8" s="6" t="n"/>
      <c r="C8" s="6" t="n"/>
      <c r="D8" s="6" t="n"/>
      <c r="E8" s="7" t="n"/>
      <c r="F8" s="7" t="n"/>
      <c r="G8" s="6" t="n"/>
      <c r="H8" s="6">
        <f>IF(OR(E8="",F8=""),"",ROUND((F8-E8)*1440-N(G8),0))</f>
        <v/>
      </c>
    </row>
    <row r="9">
      <c r="A9" s="5" t="n"/>
      <c r="B9" s="6" t="n"/>
      <c r="C9" s="6" t="n"/>
      <c r="D9" s="6" t="n"/>
      <c r="E9" s="7" t="n"/>
      <c r="F9" s="7" t="n"/>
      <c r="G9" s="6" t="n"/>
      <c r="H9" s="6">
        <f>IF(OR(E9="",F9=""),"",ROUND((F9-E9)*1440-N(G9),0))</f>
        <v/>
      </c>
    </row>
    <row r="10">
      <c r="A10" s="5" t="n"/>
      <c r="B10" s="6" t="n"/>
      <c r="C10" s="6" t="n"/>
      <c r="D10" s="6" t="n"/>
      <c r="E10" s="7" t="n"/>
      <c r="F10" s="7" t="n"/>
      <c r="G10" s="6" t="n"/>
      <c r="H10" s="6">
        <f>IF(OR(E10="",F10=""),"",ROUND((F10-E10)*1440-N(G10),0))</f>
        <v/>
      </c>
    </row>
    <row r="11">
      <c r="A11" s="5" t="n"/>
      <c r="B11" s="6" t="n"/>
      <c r="C11" s="6" t="n"/>
      <c r="D11" s="6" t="n"/>
      <c r="E11" s="7" t="n"/>
      <c r="F11" s="7" t="n"/>
      <c r="G11" s="6" t="n"/>
      <c r="H11" s="6">
        <f>IF(OR(E11="",F11=""),"",ROUND((F11-E11)*1440-N(G11),0))</f>
        <v/>
      </c>
    </row>
    <row r="12">
      <c r="A12" s="5" t="n"/>
      <c r="B12" s="6" t="n"/>
      <c r="C12" s="6" t="n"/>
      <c r="D12" s="6" t="n"/>
      <c r="E12" s="7" t="n"/>
      <c r="F12" s="7" t="n"/>
      <c r="G12" s="6" t="n"/>
      <c r="H12" s="6">
        <f>IF(OR(E12="",F12=""),"",ROUND((F12-E12)*1440-N(G12),0))</f>
        <v/>
      </c>
    </row>
    <row r="13">
      <c r="A13" s="5" t="n"/>
      <c r="B13" s="6" t="n"/>
      <c r="C13" s="6" t="n"/>
      <c r="D13" s="6" t="n"/>
      <c r="E13" s="7" t="n"/>
      <c r="F13" s="7" t="n"/>
      <c r="G13" s="6" t="n"/>
      <c r="H13" s="6">
        <f>IF(OR(E13="",F13=""),"",ROUND((F13-E13)*1440-N(G13),0))</f>
        <v/>
      </c>
    </row>
    <row r="14">
      <c r="A14" s="5" t="n"/>
      <c r="B14" s="6" t="n"/>
      <c r="C14" s="6" t="n"/>
      <c r="D14" s="6" t="n"/>
      <c r="E14" s="7" t="n"/>
      <c r="F14" s="7" t="n"/>
      <c r="G14" s="6" t="n"/>
      <c r="H14" s="6">
        <f>IF(OR(E14="",F14=""),"",ROUND((F14-E14)*1440-N(G14),0))</f>
        <v/>
      </c>
    </row>
    <row r="15">
      <c r="A15" s="5" t="n"/>
      <c r="B15" s="6" t="n"/>
      <c r="C15" s="6" t="n"/>
      <c r="D15" s="6" t="n"/>
      <c r="E15" s="7" t="n"/>
      <c r="F15" s="7" t="n"/>
      <c r="G15" s="6" t="n"/>
      <c r="H15" s="6">
        <f>IF(OR(E15="",F15=""),"",ROUND((F15-E15)*1440-N(G15),0))</f>
        <v/>
      </c>
    </row>
    <row r="16">
      <c r="A16" s="5" t="n"/>
      <c r="B16" s="6" t="n"/>
      <c r="C16" s="6" t="n"/>
      <c r="D16" s="6" t="n"/>
      <c r="E16" s="7" t="n"/>
      <c r="F16" s="7" t="n"/>
      <c r="G16" s="6" t="n"/>
      <c r="H16" s="6">
        <f>IF(OR(E16="",F16=""),"",ROUND((F16-E16)*1440-N(G16),0))</f>
        <v/>
      </c>
    </row>
    <row r="17">
      <c r="A17" s="5" t="n"/>
      <c r="B17" s="6" t="n"/>
      <c r="C17" s="6" t="n"/>
      <c r="D17" s="6" t="n"/>
      <c r="E17" s="7" t="n"/>
      <c r="F17" s="7" t="n"/>
      <c r="G17" s="6" t="n"/>
      <c r="H17" s="6">
        <f>IF(OR(E17="",F17=""),"",ROUND((F17-E17)*1440-N(G17),0))</f>
        <v/>
      </c>
    </row>
    <row r="18">
      <c r="A18" s="5" t="n"/>
      <c r="B18" s="6" t="n"/>
      <c r="C18" s="6" t="n"/>
      <c r="D18" s="6" t="n"/>
      <c r="E18" s="7" t="n"/>
      <c r="F18" s="7" t="n"/>
      <c r="G18" s="6" t="n"/>
      <c r="H18" s="6">
        <f>IF(OR(E18="",F18=""),"",ROUND((F18-E18)*1440-N(G18),0))</f>
        <v/>
      </c>
    </row>
    <row r="19">
      <c r="A19" s="5" t="n"/>
      <c r="B19" s="6" t="n"/>
      <c r="C19" s="6" t="n"/>
      <c r="D19" s="6" t="n"/>
      <c r="E19" s="7" t="n"/>
      <c r="F19" s="7" t="n"/>
      <c r="G19" s="6" t="n"/>
      <c r="H19" s="6">
        <f>IF(OR(E19="",F19=""),"",ROUND((F19-E19)*1440-N(G19),0))</f>
        <v/>
      </c>
    </row>
    <row r="20">
      <c r="A20" s="5" t="n"/>
      <c r="B20" s="6" t="n"/>
      <c r="C20" s="6" t="n"/>
      <c r="D20" s="6" t="n"/>
      <c r="E20" s="7" t="n"/>
      <c r="F20" s="7" t="n"/>
      <c r="G20" s="6" t="n"/>
      <c r="H20" s="6">
        <f>IF(OR(E20="",F20=""),"",ROUND((F20-E20)*1440-N(G20),0))</f>
        <v/>
      </c>
    </row>
    <row r="21">
      <c r="A21" s="5" t="n"/>
      <c r="B21" s="6" t="n"/>
      <c r="C21" s="6" t="n"/>
      <c r="D21" s="6" t="n"/>
      <c r="E21" s="7" t="n"/>
      <c r="F21" s="7" t="n"/>
      <c r="G21" s="6" t="n"/>
      <c r="H21" s="6">
        <f>IF(OR(E21="",F21=""),"",ROUND((F21-E21)*1440-N(G21),0))</f>
        <v/>
      </c>
    </row>
    <row r="22">
      <c r="A22" s="5" t="n"/>
      <c r="B22" s="6" t="n"/>
      <c r="C22" s="6" t="n"/>
      <c r="D22" s="6" t="n"/>
      <c r="E22" s="7" t="n"/>
      <c r="F22" s="7" t="n"/>
      <c r="G22" s="6" t="n"/>
      <c r="H22" s="6">
        <f>IF(OR(E22="",F22=""),"",ROUND((F22-E22)*1440-N(G22),0))</f>
        <v/>
      </c>
    </row>
    <row r="23">
      <c r="A23" s="5" t="n"/>
      <c r="B23" s="6" t="n"/>
      <c r="C23" s="6" t="n"/>
      <c r="D23" s="6" t="n"/>
      <c r="E23" s="7" t="n"/>
      <c r="F23" s="7" t="n"/>
      <c r="G23" s="6" t="n"/>
      <c r="H23" s="6">
        <f>IF(OR(E23="",F23=""),"",ROUND((F23-E23)*1440-N(G23),0))</f>
        <v/>
      </c>
    </row>
    <row r="24">
      <c r="A24" s="5" t="n"/>
      <c r="B24" s="6" t="n"/>
      <c r="C24" s="6" t="n"/>
      <c r="D24" s="6" t="n"/>
      <c r="E24" s="7" t="n"/>
      <c r="F24" s="7" t="n"/>
      <c r="G24" s="6" t="n"/>
      <c r="H24" s="6">
        <f>IF(OR(E24="",F24=""),"",ROUND((F24-E24)*1440-N(G24),0))</f>
        <v/>
      </c>
    </row>
    <row r="25">
      <c r="A25" s="5" t="n"/>
      <c r="B25" s="6" t="n"/>
      <c r="C25" s="6" t="n"/>
      <c r="D25" s="6" t="n"/>
      <c r="E25" s="7" t="n"/>
      <c r="F25" s="7" t="n"/>
      <c r="G25" s="6" t="n"/>
      <c r="H25" s="6">
        <f>IF(OR(E25="",F25=""),"",ROUND((F25-E25)*1440-N(G25),0))</f>
        <v/>
      </c>
    </row>
    <row r="26">
      <c r="A26" s="5" t="n"/>
      <c r="B26" s="6" t="n"/>
      <c r="C26" s="6" t="n"/>
      <c r="D26" s="6" t="n"/>
      <c r="E26" s="7" t="n"/>
      <c r="F26" s="7" t="n"/>
      <c r="G26" s="6" t="n"/>
      <c r="H26" s="6">
        <f>IF(OR(E26="",F26=""),"",ROUND((F26-E26)*1440-N(G26),0))</f>
        <v/>
      </c>
    </row>
    <row r="27">
      <c r="A27" s="5" t="n"/>
      <c r="B27" s="6" t="n"/>
      <c r="C27" s="6" t="n"/>
      <c r="D27" s="6" t="n"/>
      <c r="E27" s="7" t="n"/>
      <c r="F27" s="7" t="n"/>
      <c r="G27" s="6" t="n"/>
      <c r="H27" s="6">
        <f>IF(OR(E27="",F27=""),"",ROUND((F27-E27)*1440-N(G27),0))</f>
        <v/>
      </c>
    </row>
    <row r="28">
      <c r="A28" s="5" t="n"/>
      <c r="B28" s="6" t="n"/>
      <c r="C28" s="6" t="n"/>
      <c r="D28" s="6" t="n"/>
      <c r="E28" s="7" t="n"/>
      <c r="F28" s="7" t="n"/>
      <c r="G28" s="6" t="n"/>
      <c r="H28" s="6">
        <f>IF(OR(E28="",F28=""),"",ROUND((F28-E28)*1440-N(G28),0))</f>
        <v/>
      </c>
    </row>
    <row r="29">
      <c r="A29" s="5" t="n"/>
      <c r="B29" s="6" t="n"/>
      <c r="C29" s="6" t="n"/>
      <c r="D29" s="6" t="n"/>
      <c r="E29" s="7" t="n"/>
      <c r="F29" s="7" t="n"/>
      <c r="G29" s="6" t="n"/>
      <c r="H29" s="6">
        <f>IF(OR(E29="",F29=""),"",ROUND((F29-E29)*1440-N(G29),0))</f>
        <v/>
      </c>
    </row>
    <row r="30">
      <c r="A30" s="5" t="n"/>
      <c r="B30" s="6" t="n"/>
      <c r="C30" s="6" t="n"/>
      <c r="D30" s="6" t="n"/>
      <c r="E30" s="7" t="n"/>
      <c r="F30" s="7" t="n"/>
      <c r="G30" s="6" t="n"/>
      <c r="H30" s="6">
        <f>IF(OR(E30="",F30=""),"",ROUND((F30-E30)*1440-N(G30),0))</f>
        <v/>
      </c>
    </row>
    <row r="31">
      <c r="A31" s="5" t="n"/>
      <c r="B31" s="6" t="n"/>
      <c r="C31" s="6" t="n"/>
      <c r="D31" s="6" t="n"/>
      <c r="E31" s="7" t="n"/>
      <c r="F31" s="7" t="n"/>
      <c r="G31" s="6" t="n"/>
      <c r="H31" s="6">
        <f>IF(OR(E31="",F31=""),"",ROUND((F31-E31)*1440-N(G31),0))</f>
        <v/>
      </c>
    </row>
    <row r="32">
      <c r="A32" s="5" t="n"/>
      <c r="B32" s="6" t="n"/>
      <c r="C32" s="6" t="n"/>
      <c r="D32" s="6" t="n"/>
      <c r="E32" s="7" t="n"/>
      <c r="F32" s="7" t="n"/>
      <c r="G32" s="6" t="n"/>
      <c r="H32" s="6">
        <f>IF(OR(E32="",F32=""),"",ROUND((F32-E32)*1440-N(G32),0))</f>
        <v/>
      </c>
    </row>
    <row r="33">
      <c r="A33" s="5" t="n"/>
      <c r="B33" s="6" t="n"/>
      <c r="C33" s="6" t="n"/>
      <c r="D33" s="6" t="n"/>
      <c r="E33" s="7" t="n"/>
      <c r="F33" s="7" t="n"/>
      <c r="G33" s="6" t="n"/>
      <c r="H33" s="6">
        <f>IF(OR(E33="",F33=""),"",ROUND((F33-E33)*1440-N(G33),0))</f>
        <v/>
      </c>
    </row>
    <row r="34">
      <c r="A34" s="5" t="n"/>
      <c r="B34" s="6" t="n"/>
      <c r="C34" s="6" t="n"/>
      <c r="D34" s="6" t="n"/>
      <c r="E34" s="7" t="n"/>
      <c r="F34" s="7" t="n"/>
      <c r="G34" s="6" t="n"/>
      <c r="H34" s="6">
        <f>IF(OR(E34="",F34=""),"",ROUND((F34-E34)*1440-N(G34),0))</f>
        <v/>
      </c>
    </row>
    <row r="35">
      <c r="A35" s="5" t="n"/>
      <c r="B35" s="6" t="n"/>
      <c r="C35" s="6" t="n"/>
      <c r="D35" s="6" t="n"/>
      <c r="E35" s="7" t="n"/>
      <c r="F35" s="7" t="n"/>
      <c r="G35" s="6" t="n"/>
      <c r="H35" s="6">
        <f>IF(OR(E35="",F35=""),"",ROUND((F35-E35)*1440-N(G35),0))</f>
        <v/>
      </c>
    </row>
    <row r="36">
      <c r="A36" s="5" t="n"/>
      <c r="B36" s="6" t="n"/>
      <c r="C36" s="6" t="n"/>
      <c r="D36" s="6" t="n"/>
      <c r="E36" s="7" t="n"/>
      <c r="F36" s="7" t="n"/>
      <c r="G36" s="6" t="n"/>
      <c r="H36" s="6">
        <f>IF(OR(E36="",F36=""),"",ROUND((F36-E36)*1440-N(G36),0))</f>
        <v/>
      </c>
    </row>
    <row r="37">
      <c r="A37" s="5" t="n"/>
      <c r="B37" s="6" t="n"/>
      <c r="C37" s="6" t="n"/>
      <c r="D37" s="6" t="n"/>
      <c r="E37" s="7" t="n"/>
      <c r="F37" s="7" t="n"/>
      <c r="G37" s="6" t="n"/>
      <c r="H37" s="6">
        <f>IF(OR(E37="",F37=""),"",ROUND((F37-E37)*1440-N(G37),0))</f>
        <v/>
      </c>
    </row>
    <row r="38">
      <c r="A38" s="5" t="n"/>
      <c r="B38" s="6" t="n"/>
      <c r="C38" s="6" t="n"/>
      <c r="D38" s="6" t="n"/>
      <c r="E38" s="7" t="n"/>
      <c r="F38" s="7" t="n"/>
      <c r="G38" s="6" t="n"/>
      <c r="H38" s="6">
        <f>IF(OR(E38="",F38=""),"",ROUND((F38-E38)*1440-N(G38),0))</f>
        <v/>
      </c>
    </row>
    <row r="39">
      <c r="A39" s="5" t="n"/>
      <c r="B39" s="6" t="n"/>
      <c r="C39" s="6" t="n"/>
      <c r="D39" s="6" t="n"/>
      <c r="E39" s="7" t="n"/>
      <c r="F39" s="7" t="n"/>
      <c r="G39" s="6" t="n"/>
      <c r="H39" s="6">
        <f>IF(OR(E39="",F39=""),"",ROUND((F39-E39)*1440-N(G39),0))</f>
        <v/>
      </c>
    </row>
    <row r="40">
      <c r="A40" s="5" t="n"/>
      <c r="B40" s="6" t="n"/>
      <c r="C40" s="6" t="n"/>
      <c r="D40" s="6" t="n"/>
      <c r="E40" s="7" t="n"/>
      <c r="F40" s="7" t="n"/>
      <c r="G40" s="6" t="n"/>
      <c r="H40" s="6">
        <f>IF(OR(E40="",F40=""),"",ROUND((F40-E40)*1440-N(G40),0))</f>
        <v/>
      </c>
    </row>
    <row r="41">
      <c r="A41" s="5" t="n"/>
      <c r="B41" s="6" t="n"/>
      <c r="C41" s="6" t="n"/>
      <c r="D41" s="6" t="n"/>
      <c r="E41" s="7" t="n"/>
      <c r="F41" s="7" t="n"/>
      <c r="G41" s="6" t="n"/>
      <c r="H41" s="6">
        <f>IF(OR(E41="",F41=""),"",ROUND((F41-E41)*1440-N(G41),0))</f>
        <v/>
      </c>
    </row>
    <row r="42">
      <c r="A42" s="5" t="n"/>
      <c r="B42" s="6" t="n"/>
      <c r="C42" s="6" t="n"/>
      <c r="D42" s="6" t="n"/>
      <c r="E42" s="7" t="n"/>
      <c r="F42" s="7" t="n"/>
      <c r="G42" s="6" t="n"/>
      <c r="H42" s="6">
        <f>IF(OR(E42="",F42=""),"",ROUND((F42-E42)*1440-N(G42),0))</f>
        <v/>
      </c>
    </row>
    <row r="43">
      <c r="A43" s="5" t="n"/>
      <c r="B43" s="6" t="n"/>
      <c r="C43" s="6" t="n"/>
      <c r="D43" s="6" t="n"/>
      <c r="E43" s="7" t="n"/>
      <c r="F43" s="7" t="n"/>
      <c r="G43" s="6" t="n"/>
      <c r="H43" s="6">
        <f>IF(OR(E43="",F43=""),"",ROUND((F43-E43)*1440-N(G43),0))</f>
        <v/>
      </c>
    </row>
    <row r="44">
      <c r="A44" s="5" t="n"/>
      <c r="B44" s="6" t="n"/>
      <c r="C44" s="6" t="n"/>
      <c r="D44" s="6" t="n"/>
      <c r="E44" s="7" t="n"/>
      <c r="F44" s="7" t="n"/>
      <c r="G44" s="6" t="n"/>
      <c r="H44" s="6">
        <f>IF(OR(E44="",F44=""),"",ROUND((F44-E44)*1440-N(G44),0))</f>
        <v/>
      </c>
    </row>
    <row r="45">
      <c r="A45" s="5" t="n"/>
      <c r="B45" s="6" t="n"/>
      <c r="C45" s="6" t="n"/>
      <c r="D45" s="6" t="n"/>
      <c r="E45" s="7" t="n"/>
      <c r="F45" s="7" t="n"/>
      <c r="G45" s="6" t="n"/>
      <c r="H45" s="6">
        <f>IF(OR(E45="",F45=""),"",ROUND((F45-E45)*1440-N(G45),0))</f>
        <v/>
      </c>
    </row>
    <row r="46">
      <c r="A46" s="5" t="n"/>
      <c r="B46" s="6" t="n"/>
      <c r="C46" s="6" t="n"/>
      <c r="D46" s="6" t="n"/>
      <c r="E46" s="7" t="n"/>
      <c r="F46" s="7" t="n"/>
      <c r="G46" s="6" t="n"/>
      <c r="H46" s="6">
        <f>IF(OR(E46="",F46=""),"",ROUND((F46-E46)*1440-N(G46),0))</f>
        <v/>
      </c>
    </row>
    <row r="47">
      <c r="A47" s="5" t="n"/>
      <c r="B47" s="6" t="n"/>
      <c r="C47" s="6" t="n"/>
      <c r="D47" s="6" t="n"/>
      <c r="E47" s="7" t="n"/>
      <c r="F47" s="7" t="n"/>
      <c r="G47" s="6" t="n"/>
      <c r="H47" s="6">
        <f>IF(OR(E47="",F47=""),"",ROUND((F47-E47)*1440-N(G47),0))</f>
        <v/>
      </c>
    </row>
    <row r="48">
      <c r="A48" s="5" t="n"/>
      <c r="B48" s="6" t="n"/>
      <c r="C48" s="6" t="n"/>
      <c r="D48" s="6" t="n"/>
      <c r="E48" s="7" t="n"/>
      <c r="F48" s="7" t="n"/>
      <c r="G48" s="6" t="n"/>
      <c r="H48" s="6">
        <f>IF(OR(E48="",F48=""),"",ROUND((F48-E48)*1440-N(G48),0))</f>
        <v/>
      </c>
    </row>
    <row r="49">
      <c r="A49" s="5" t="n"/>
      <c r="B49" s="6" t="n"/>
      <c r="C49" s="6" t="n"/>
      <c r="D49" s="6" t="n"/>
      <c r="E49" s="7" t="n"/>
      <c r="F49" s="7" t="n"/>
      <c r="G49" s="6" t="n"/>
      <c r="H49" s="6">
        <f>IF(OR(E49="",F49=""),"",ROUND((F49-E49)*1440-N(G49),0))</f>
        <v/>
      </c>
    </row>
    <row r="50">
      <c r="A50" s="5" t="n"/>
      <c r="B50" s="6" t="n"/>
      <c r="C50" s="6" t="n"/>
      <c r="D50" s="6" t="n"/>
      <c r="E50" s="7" t="n"/>
      <c r="F50" s="7" t="n"/>
      <c r="G50" s="6" t="n"/>
      <c r="H50" s="6">
        <f>IF(OR(E50="",F50=""),"",ROUND((F50-E50)*1440-N(G50),0))</f>
        <v/>
      </c>
    </row>
    <row r="51">
      <c r="A51" s="5" t="n"/>
      <c r="B51" s="6" t="n"/>
      <c r="C51" s="6" t="n"/>
      <c r="D51" s="6" t="n"/>
      <c r="E51" s="7" t="n"/>
      <c r="F51" s="7" t="n"/>
      <c r="G51" s="6" t="n"/>
      <c r="H51" s="6">
        <f>IF(OR(E51="",F51=""),"",ROUND((F51-E51)*1440-N(G51),0))</f>
        <v/>
      </c>
    </row>
    <row r="52">
      <c r="A52" s="5" t="n"/>
      <c r="B52" s="6" t="n"/>
      <c r="C52" s="6" t="n"/>
      <c r="D52" s="6" t="n"/>
      <c r="E52" s="7" t="n"/>
      <c r="F52" s="7" t="n"/>
      <c r="G52" s="6" t="n"/>
      <c r="H52" s="6">
        <f>IF(OR(E52="",F52=""),"",ROUND((F52-E52)*1440-N(G52),0))</f>
        <v/>
      </c>
    </row>
    <row r="53">
      <c r="A53" s="5" t="n"/>
      <c r="B53" s="6" t="n"/>
      <c r="C53" s="6" t="n"/>
      <c r="D53" s="6" t="n"/>
      <c r="E53" s="7" t="n"/>
      <c r="F53" s="7" t="n"/>
      <c r="G53" s="6" t="n"/>
      <c r="H53" s="6">
        <f>IF(OR(E53="",F53=""),"",ROUND((F53-E53)*1440-N(G53),0))</f>
        <v/>
      </c>
    </row>
    <row r="54">
      <c r="A54" s="5" t="n"/>
      <c r="B54" s="6" t="n"/>
      <c r="C54" s="6" t="n"/>
      <c r="D54" s="6" t="n"/>
      <c r="E54" s="7" t="n"/>
      <c r="F54" s="7" t="n"/>
      <c r="G54" s="6" t="n"/>
      <c r="H54" s="6">
        <f>IF(OR(E54="",F54=""),"",ROUND((F54-E54)*1440-N(G54),0))</f>
        <v/>
      </c>
    </row>
    <row r="55">
      <c r="A55" s="5" t="n"/>
      <c r="B55" s="6" t="n"/>
      <c r="C55" s="6" t="n"/>
      <c r="D55" s="6" t="n"/>
      <c r="E55" s="7" t="n"/>
      <c r="F55" s="7" t="n"/>
      <c r="G55" s="6" t="n"/>
      <c r="H55" s="6">
        <f>IF(OR(E55="",F55=""),"",ROUND((F55-E55)*1440-N(G55),0))</f>
        <v/>
      </c>
    </row>
    <row r="56">
      <c r="A56" s="5" t="n"/>
      <c r="B56" s="6" t="n"/>
      <c r="C56" s="6" t="n"/>
      <c r="D56" s="6" t="n"/>
      <c r="E56" s="7" t="n"/>
      <c r="F56" s="7" t="n"/>
      <c r="G56" s="6" t="n"/>
      <c r="H56" s="6">
        <f>IF(OR(E56="",F56=""),"",ROUND((F56-E56)*1440-N(G56),0))</f>
        <v/>
      </c>
    </row>
    <row r="57">
      <c r="A57" s="5" t="n"/>
      <c r="B57" s="6" t="n"/>
      <c r="C57" s="6" t="n"/>
      <c r="D57" s="6" t="n"/>
      <c r="E57" s="7" t="n"/>
      <c r="F57" s="7" t="n"/>
      <c r="G57" s="6" t="n"/>
      <c r="H57" s="6">
        <f>IF(OR(E57="",F57=""),"",ROUND((F57-E57)*1440-N(G57),0))</f>
        <v/>
      </c>
    </row>
    <row r="58">
      <c r="A58" s="5" t="n"/>
      <c r="B58" s="6" t="n"/>
      <c r="C58" s="6" t="n"/>
      <c r="D58" s="6" t="n"/>
      <c r="E58" s="7" t="n"/>
      <c r="F58" s="7" t="n"/>
      <c r="G58" s="6" t="n"/>
      <c r="H58" s="6">
        <f>IF(OR(E58="",F58=""),"",ROUND((F58-E58)*1440-N(G58),0))</f>
        <v/>
      </c>
    </row>
    <row r="59">
      <c r="A59" s="5" t="n"/>
      <c r="B59" s="6" t="n"/>
      <c r="C59" s="6" t="n"/>
      <c r="D59" s="6" t="n"/>
      <c r="E59" s="7" t="n"/>
      <c r="F59" s="7" t="n"/>
      <c r="G59" s="6" t="n"/>
      <c r="H59" s="6">
        <f>IF(OR(E59="",F59=""),"",ROUND((F59-E59)*1440-N(G59),0))</f>
        <v/>
      </c>
    </row>
    <row r="60">
      <c r="A60" s="5" t="n"/>
      <c r="B60" s="6" t="n"/>
      <c r="C60" s="6" t="n"/>
      <c r="D60" s="6" t="n"/>
      <c r="E60" s="7" t="n"/>
      <c r="F60" s="7" t="n"/>
      <c r="G60" s="6" t="n"/>
      <c r="H60" s="6">
        <f>IF(OR(E60="",F60=""),"",ROUND((F60-E60)*1440-N(G60),0))</f>
        <v/>
      </c>
    </row>
    <row r="61">
      <c r="A61" s="5" t="n"/>
      <c r="B61" s="6" t="n"/>
      <c r="C61" s="6" t="n"/>
      <c r="D61" s="6" t="n"/>
      <c r="E61" s="7" t="n"/>
      <c r="F61" s="7" t="n"/>
      <c r="G61" s="6" t="n"/>
      <c r="H61" s="6">
        <f>IF(OR(E61="",F61=""),"",ROUND((F61-E61)*1440-N(G61),0))</f>
        <v/>
      </c>
    </row>
    <row r="62">
      <c r="A62" s="5" t="n"/>
      <c r="B62" s="6" t="n"/>
      <c r="C62" s="6" t="n"/>
      <c r="D62" s="6" t="n"/>
      <c r="E62" s="7" t="n"/>
      <c r="F62" s="7" t="n"/>
      <c r="G62" s="6" t="n"/>
      <c r="H62" s="6">
        <f>IF(OR(E62="",F62=""),"",ROUND((F62-E62)*1440-N(G62),0))</f>
        <v/>
      </c>
    </row>
    <row r="63">
      <c r="A63" s="5" t="n"/>
      <c r="B63" s="6" t="n"/>
      <c r="C63" s="6" t="n"/>
      <c r="D63" s="6" t="n"/>
      <c r="E63" s="7" t="n"/>
      <c r="F63" s="7" t="n"/>
      <c r="G63" s="6" t="n"/>
      <c r="H63" s="6">
        <f>IF(OR(E63="",F63=""),"",ROUND((F63-E63)*1440-N(G63),0))</f>
        <v/>
      </c>
    </row>
    <row r="64">
      <c r="A64" s="5" t="n"/>
      <c r="B64" s="6" t="n"/>
      <c r="C64" s="6" t="n"/>
      <c r="D64" s="6" t="n"/>
      <c r="E64" s="7" t="n"/>
      <c r="F64" s="7" t="n"/>
      <c r="G64" s="6" t="n"/>
      <c r="H64" s="6">
        <f>IF(OR(E64="",F64=""),"",ROUND((F64-E64)*1440-N(G64),0))</f>
        <v/>
      </c>
    </row>
    <row r="65">
      <c r="A65" s="5" t="n"/>
      <c r="B65" s="6" t="n"/>
      <c r="C65" s="6" t="n"/>
      <c r="D65" s="6" t="n"/>
      <c r="E65" s="7" t="n"/>
      <c r="F65" s="7" t="n"/>
      <c r="G65" s="6" t="n"/>
      <c r="H65" s="6">
        <f>IF(OR(E65="",F65=""),"",ROUND((F65-E65)*1440-N(G65),0))</f>
        <v/>
      </c>
    </row>
    <row r="66">
      <c r="A66" s="5" t="n"/>
      <c r="B66" s="6" t="n"/>
      <c r="C66" s="6" t="n"/>
      <c r="D66" s="6" t="n"/>
      <c r="E66" s="7" t="n"/>
      <c r="F66" s="7" t="n"/>
      <c r="G66" s="6" t="n"/>
      <c r="H66" s="6">
        <f>IF(OR(E66="",F66=""),"",ROUND((F66-E66)*1440-N(G66),0))</f>
        <v/>
      </c>
    </row>
    <row r="67">
      <c r="A67" s="5" t="n"/>
      <c r="B67" s="6" t="n"/>
      <c r="C67" s="6" t="n"/>
      <c r="D67" s="6" t="n"/>
      <c r="E67" s="7" t="n"/>
      <c r="F67" s="7" t="n"/>
      <c r="G67" s="6" t="n"/>
      <c r="H67" s="6">
        <f>IF(OR(E67="",F67=""),"",ROUND((F67-E67)*1440-N(G67),0))</f>
        <v/>
      </c>
    </row>
    <row r="68">
      <c r="A68" s="5" t="n"/>
      <c r="B68" s="6" t="n"/>
      <c r="C68" s="6" t="n"/>
      <c r="D68" s="6" t="n"/>
      <c r="E68" s="7" t="n"/>
      <c r="F68" s="7" t="n"/>
      <c r="G68" s="6" t="n"/>
      <c r="H68" s="6">
        <f>IF(OR(E68="",F68=""),"",ROUND((F68-E68)*1440-N(G68),0))</f>
        <v/>
      </c>
    </row>
    <row r="69">
      <c r="A69" s="5" t="n"/>
      <c r="B69" s="6" t="n"/>
      <c r="C69" s="6" t="n"/>
      <c r="D69" s="6" t="n"/>
      <c r="E69" s="7" t="n"/>
      <c r="F69" s="7" t="n"/>
      <c r="G69" s="6" t="n"/>
      <c r="H69" s="6">
        <f>IF(OR(E69="",F69=""),"",ROUND((F69-E69)*1440-N(G69),0))</f>
        <v/>
      </c>
    </row>
    <row r="70">
      <c r="A70" s="5" t="n"/>
      <c r="B70" s="6" t="n"/>
      <c r="C70" s="6" t="n"/>
      <c r="D70" s="6" t="n"/>
      <c r="E70" s="7" t="n"/>
      <c r="F70" s="7" t="n"/>
      <c r="G70" s="6" t="n"/>
      <c r="H70" s="6">
        <f>IF(OR(E70="",F70=""),"",ROUND((F70-E70)*1440-N(G70),0))</f>
        <v/>
      </c>
    </row>
    <row r="71">
      <c r="A71" s="5" t="n"/>
      <c r="B71" s="6" t="n"/>
      <c r="C71" s="6" t="n"/>
      <c r="D71" s="6" t="n"/>
      <c r="E71" s="7" t="n"/>
      <c r="F71" s="7" t="n"/>
      <c r="G71" s="6" t="n"/>
      <c r="H71" s="6">
        <f>IF(OR(E71="",F71=""),"",ROUND((F71-E71)*1440-N(G71),0))</f>
        <v/>
      </c>
    </row>
    <row r="72">
      <c r="A72" s="5" t="n"/>
      <c r="B72" s="6" t="n"/>
      <c r="C72" s="6" t="n"/>
      <c r="D72" s="6" t="n"/>
      <c r="E72" s="7" t="n"/>
      <c r="F72" s="7" t="n"/>
      <c r="G72" s="6" t="n"/>
      <c r="H72" s="6">
        <f>IF(OR(E72="",F72=""),"",ROUND((F72-E72)*1440-N(G72),0))</f>
        <v/>
      </c>
    </row>
    <row r="73">
      <c r="A73" s="5" t="n"/>
      <c r="B73" s="6" t="n"/>
      <c r="C73" s="6" t="n"/>
      <c r="D73" s="6" t="n"/>
      <c r="E73" s="7" t="n"/>
      <c r="F73" s="7" t="n"/>
      <c r="G73" s="6" t="n"/>
      <c r="H73" s="6">
        <f>IF(OR(E73="",F73=""),"",ROUND((F73-E73)*1440-N(G73),0))</f>
        <v/>
      </c>
    </row>
    <row r="74">
      <c r="A74" s="5" t="n"/>
      <c r="B74" s="6" t="n"/>
      <c r="C74" s="6" t="n"/>
      <c r="D74" s="6" t="n"/>
      <c r="E74" s="7" t="n"/>
      <c r="F74" s="7" t="n"/>
      <c r="G74" s="6" t="n"/>
      <c r="H74" s="6">
        <f>IF(OR(E74="",F74=""),"",ROUND((F74-E74)*1440-N(G74),0))</f>
        <v/>
      </c>
    </row>
    <row r="75">
      <c r="A75" s="5" t="n"/>
      <c r="B75" s="6" t="n"/>
      <c r="C75" s="6" t="n"/>
      <c r="D75" s="6" t="n"/>
      <c r="E75" s="7" t="n"/>
      <c r="F75" s="7" t="n"/>
      <c r="G75" s="6" t="n"/>
      <c r="H75" s="6">
        <f>IF(OR(E75="",F75=""),"",ROUND((F75-E75)*1440-N(G75),0))</f>
        <v/>
      </c>
    </row>
    <row r="76">
      <c r="A76" s="5" t="n"/>
      <c r="B76" s="6" t="n"/>
      <c r="C76" s="6" t="n"/>
      <c r="D76" s="6" t="n"/>
      <c r="E76" s="7" t="n"/>
      <c r="F76" s="7" t="n"/>
      <c r="G76" s="6" t="n"/>
      <c r="H76" s="6">
        <f>IF(OR(E76="",F76=""),"",ROUND((F76-E76)*1440-N(G76),0))</f>
        <v/>
      </c>
    </row>
    <row r="77">
      <c r="A77" s="5" t="n"/>
      <c r="B77" s="6" t="n"/>
      <c r="C77" s="6" t="n"/>
      <c r="D77" s="6" t="n"/>
      <c r="E77" s="7" t="n"/>
      <c r="F77" s="7" t="n"/>
      <c r="G77" s="6" t="n"/>
      <c r="H77" s="6">
        <f>IF(OR(E77="",F77=""),"",ROUND((F77-E77)*1440-N(G77),0))</f>
        <v/>
      </c>
    </row>
    <row r="78">
      <c r="A78" s="5" t="n"/>
      <c r="B78" s="6" t="n"/>
      <c r="C78" s="6" t="n"/>
      <c r="D78" s="6" t="n"/>
      <c r="E78" s="7" t="n"/>
      <c r="F78" s="7" t="n"/>
      <c r="G78" s="6" t="n"/>
      <c r="H78" s="6">
        <f>IF(OR(E78="",F78=""),"",ROUND((F78-E78)*1440-N(G78),0))</f>
        <v/>
      </c>
    </row>
    <row r="79">
      <c r="A79" s="5" t="n"/>
      <c r="B79" s="6" t="n"/>
      <c r="C79" s="6" t="n"/>
      <c r="D79" s="6" t="n"/>
      <c r="E79" s="7" t="n"/>
      <c r="F79" s="7" t="n"/>
      <c r="G79" s="6" t="n"/>
      <c r="H79" s="6">
        <f>IF(OR(E79="",F79=""),"",ROUND((F79-E79)*1440-N(G79),0))</f>
        <v/>
      </c>
    </row>
    <row r="80">
      <c r="A80" s="5" t="n"/>
      <c r="B80" s="6" t="n"/>
      <c r="C80" s="6" t="n"/>
      <c r="D80" s="6" t="n"/>
      <c r="E80" s="7" t="n"/>
      <c r="F80" s="7" t="n"/>
      <c r="G80" s="6" t="n"/>
      <c r="H80" s="6">
        <f>IF(OR(E80="",F80=""),"",ROUND((F80-E80)*1440-N(G80),0))</f>
        <v/>
      </c>
    </row>
    <row r="81">
      <c r="A81" s="5" t="n"/>
      <c r="B81" s="6" t="n"/>
      <c r="C81" s="6" t="n"/>
      <c r="D81" s="6" t="n"/>
      <c r="E81" s="7" t="n"/>
      <c r="F81" s="7" t="n"/>
      <c r="G81" s="6" t="n"/>
      <c r="H81" s="6">
        <f>IF(OR(E81="",F81=""),"",ROUND((F81-E81)*1440-N(G81),0))</f>
        <v/>
      </c>
    </row>
    <row r="82">
      <c r="A82" s="5" t="n"/>
      <c r="B82" s="6" t="n"/>
      <c r="C82" s="6" t="n"/>
      <c r="D82" s="6" t="n"/>
      <c r="E82" s="7" t="n"/>
      <c r="F82" s="7" t="n"/>
      <c r="G82" s="6" t="n"/>
      <c r="H82" s="6">
        <f>IF(OR(E82="",F82=""),"",ROUND((F82-E82)*1440-N(G82),0))</f>
        <v/>
      </c>
    </row>
    <row r="83">
      <c r="A83" s="5" t="n"/>
      <c r="B83" s="6" t="n"/>
      <c r="C83" s="6" t="n"/>
      <c r="D83" s="6" t="n"/>
      <c r="E83" s="7" t="n"/>
      <c r="F83" s="7" t="n"/>
      <c r="G83" s="6" t="n"/>
      <c r="H83" s="6">
        <f>IF(OR(E83="",F83=""),"",ROUND((F83-E83)*1440-N(G83),0))</f>
        <v/>
      </c>
    </row>
    <row r="84">
      <c r="A84" s="5" t="n"/>
      <c r="B84" s="6" t="n"/>
      <c r="C84" s="6" t="n"/>
      <c r="D84" s="6" t="n"/>
      <c r="E84" s="7" t="n"/>
      <c r="F84" s="7" t="n"/>
      <c r="G84" s="6" t="n"/>
      <c r="H84" s="6">
        <f>IF(OR(E84="",F84=""),"",ROUND((F84-E84)*1440-N(G84),0))</f>
        <v/>
      </c>
    </row>
    <row r="85">
      <c r="A85" s="5" t="n"/>
      <c r="B85" s="6" t="n"/>
      <c r="C85" s="6" t="n"/>
      <c r="D85" s="6" t="n"/>
      <c r="E85" s="7" t="n"/>
      <c r="F85" s="7" t="n"/>
      <c r="G85" s="6" t="n"/>
      <c r="H85" s="6">
        <f>IF(OR(E85="",F85=""),"",ROUND((F85-E85)*1440-N(G85),0))</f>
        <v/>
      </c>
    </row>
    <row r="86">
      <c r="A86" s="5" t="n"/>
      <c r="B86" s="6" t="n"/>
      <c r="C86" s="6" t="n"/>
      <c r="D86" s="6" t="n"/>
      <c r="E86" s="7" t="n"/>
      <c r="F86" s="7" t="n"/>
      <c r="G86" s="6" t="n"/>
      <c r="H86" s="6">
        <f>IF(OR(E86="",F86=""),"",ROUND((F86-E86)*1440-N(G86),0))</f>
        <v/>
      </c>
    </row>
    <row r="87">
      <c r="A87" s="5" t="n"/>
      <c r="B87" s="6" t="n"/>
      <c r="C87" s="6" t="n"/>
      <c r="D87" s="6" t="n"/>
      <c r="E87" s="7" t="n"/>
      <c r="F87" s="7" t="n"/>
      <c r="G87" s="6" t="n"/>
      <c r="H87" s="6">
        <f>IF(OR(E87="",F87=""),"",ROUND((F87-E87)*1440-N(G87),0))</f>
        <v/>
      </c>
    </row>
    <row r="88">
      <c r="A88" s="5" t="n"/>
      <c r="B88" s="6" t="n"/>
      <c r="C88" s="6" t="n"/>
      <c r="D88" s="6" t="n"/>
      <c r="E88" s="7" t="n"/>
      <c r="F88" s="7" t="n"/>
      <c r="G88" s="6" t="n"/>
      <c r="H88" s="6">
        <f>IF(OR(E88="",F88=""),"",ROUND((F88-E88)*1440-N(G88),0))</f>
        <v/>
      </c>
    </row>
    <row r="89">
      <c r="A89" s="5" t="n"/>
      <c r="B89" s="6" t="n"/>
      <c r="C89" s="6" t="n"/>
      <c r="D89" s="6" t="n"/>
      <c r="E89" s="7" t="n"/>
      <c r="F89" s="7" t="n"/>
      <c r="G89" s="6" t="n"/>
      <c r="H89" s="6">
        <f>IF(OR(E89="",F89=""),"",ROUND((F89-E89)*1440-N(G89),0))</f>
        <v/>
      </c>
    </row>
    <row r="90">
      <c r="A90" s="5" t="n"/>
      <c r="B90" s="6" t="n"/>
      <c r="C90" s="6" t="n"/>
      <c r="D90" s="6" t="n"/>
      <c r="E90" s="7" t="n"/>
      <c r="F90" s="7" t="n"/>
      <c r="G90" s="6" t="n"/>
      <c r="H90" s="6">
        <f>IF(OR(E90="",F90=""),"",ROUND((F90-E90)*1440-N(G90),0))</f>
        <v/>
      </c>
    </row>
    <row r="91">
      <c r="A91" s="5" t="n"/>
      <c r="B91" s="6" t="n"/>
      <c r="C91" s="6" t="n"/>
      <c r="D91" s="6" t="n"/>
      <c r="E91" s="7" t="n"/>
      <c r="F91" s="7" t="n"/>
      <c r="G91" s="6" t="n"/>
      <c r="H91" s="6">
        <f>IF(OR(E91="",F91=""),"",ROUND((F91-E91)*1440-N(G91),0))</f>
        <v/>
      </c>
    </row>
    <row r="92">
      <c r="A92" s="5" t="n"/>
      <c r="B92" s="6" t="n"/>
      <c r="C92" s="6" t="n"/>
      <c r="D92" s="6" t="n"/>
      <c r="E92" s="7" t="n"/>
      <c r="F92" s="7" t="n"/>
      <c r="G92" s="6" t="n"/>
      <c r="H92" s="6">
        <f>IF(OR(E92="",F92=""),"",ROUND((F92-E92)*1440-N(G92),0))</f>
        <v/>
      </c>
    </row>
    <row r="93">
      <c r="A93" s="5" t="n"/>
      <c r="B93" s="6" t="n"/>
      <c r="C93" s="6" t="n"/>
      <c r="D93" s="6" t="n"/>
      <c r="E93" s="7" t="n"/>
      <c r="F93" s="7" t="n"/>
      <c r="G93" s="6" t="n"/>
      <c r="H93" s="6">
        <f>IF(OR(E93="",F93=""),"",ROUND((F93-E93)*1440-N(G93),0))</f>
        <v/>
      </c>
    </row>
    <row r="94">
      <c r="A94" s="5" t="n"/>
      <c r="B94" s="6" t="n"/>
      <c r="C94" s="6" t="n"/>
      <c r="D94" s="6" t="n"/>
      <c r="E94" s="7" t="n"/>
      <c r="F94" s="7" t="n"/>
      <c r="G94" s="6" t="n"/>
      <c r="H94" s="6">
        <f>IF(OR(E94="",F94=""),"",ROUND((F94-E94)*1440-N(G94),0))</f>
        <v/>
      </c>
    </row>
    <row r="95">
      <c r="A95" s="5" t="n"/>
      <c r="B95" s="6" t="n"/>
      <c r="C95" s="6" t="n"/>
      <c r="D95" s="6" t="n"/>
      <c r="E95" s="7" t="n"/>
      <c r="F95" s="7" t="n"/>
      <c r="G95" s="6" t="n"/>
      <c r="H95" s="6">
        <f>IF(OR(E95="",F95=""),"",ROUND((F95-E95)*1440-N(G95),0))</f>
        <v/>
      </c>
    </row>
    <row r="96">
      <c r="A96" s="5" t="n"/>
      <c r="B96" s="6" t="n"/>
      <c r="C96" s="6" t="n"/>
      <c r="D96" s="6" t="n"/>
      <c r="E96" s="7" t="n"/>
      <c r="F96" s="7" t="n"/>
      <c r="G96" s="6" t="n"/>
      <c r="H96" s="6">
        <f>IF(OR(E96="",F96=""),"",ROUND((F96-E96)*1440-N(G96),0))</f>
        <v/>
      </c>
    </row>
    <row r="97">
      <c r="A97" s="5" t="n"/>
      <c r="B97" s="6" t="n"/>
      <c r="C97" s="6" t="n"/>
      <c r="D97" s="6" t="n"/>
      <c r="E97" s="7" t="n"/>
      <c r="F97" s="7" t="n"/>
      <c r="G97" s="6" t="n"/>
      <c r="H97" s="6">
        <f>IF(OR(E97="",F97=""),"",ROUND((F97-E97)*1440-N(G97),0))</f>
        <v/>
      </c>
    </row>
    <row r="98">
      <c r="A98" s="5" t="n"/>
      <c r="B98" s="6" t="n"/>
      <c r="C98" s="6" t="n"/>
      <c r="D98" s="6" t="n"/>
      <c r="E98" s="7" t="n"/>
      <c r="F98" s="7" t="n"/>
      <c r="G98" s="6" t="n"/>
      <c r="H98" s="6">
        <f>IF(OR(E98="",F98=""),"",ROUND((F98-E98)*1440-N(G98),0))</f>
        <v/>
      </c>
    </row>
    <row r="99">
      <c r="A99" s="5" t="n"/>
      <c r="B99" s="6" t="n"/>
      <c r="C99" s="6" t="n"/>
      <c r="D99" s="6" t="n"/>
      <c r="E99" s="7" t="n"/>
      <c r="F99" s="7" t="n"/>
      <c r="G99" s="6" t="n"/>
      <c r="H99" s="6">
        <f>IF(OR(E99="",F99=""),"",ROUND((F99-E99)*1440-N(G99),0))</f>
        <v/>
      </c>
    </row>
    <row r="100">
      <c r="A100" s="5" t="n"/>
      <c r="B100" s="6" t="n"/>
      <c r="C100" s="6" t="n"/>
      <c r="D100" s="6" t="n"/>
      <c r="E100" s="7" t="n"/>
      <c r="F100" s="7" t="n"/>
      <c r="G100" s="6" t="n"/>
      <c r="H100" s="6">
        <f>IF(OR(E100="",F100=""),"",ROUND((F100-E100)*1440-N(G100),0))</f>
        <v/>
      </c>
    </row>
    <row r="101">
      <c r="A101" s="5" t="n"/>
      <c r="B101" s="6" t="n"/>
      <c r="C101" s="6" t="n"/>
      <c r="D101" s="6" t="n"/>
      <c r="E101" s="7" t="n"/>
      <c r="F101" s="7" t="n"/>
      <c r="G101" s="6" t="n"/>
      <c r="H101" s="6">
        <f>IF(OR(E101="",F101=""),"",ROUND((F101-E101)*1440-N(G101),0))</f>
        <v/>
      </c>
    </row>
    <row r="102">
      <c r="A102" s="5" t="n"/>
      <c r="B102" s="6" t="n"/>
      <c r="C102" s="6" t="n"/>
      <c r="D102" s="6" t="n"/>
      <c r="E102" s="7" t="n"/>
      <c r="F102" s="7" t="n"/>
      <c r="G102" s="6" t="n"/>
      <c r="H102" s="6">
        <f>IF(OR(E102="",F102=""),"",ROUND((F102-E102)*1440-N(G102),0))</f>
        <v/>
      </c>
    </row>
    <row r="103">
      <c r="A103" s="5" t="n"/>
      <c r="B103" s="6" t="n"/>
      <c r="C103" s="6" t="n"/>
      <c r="D103" s="6" t="n"/>
      <c r="E103" s="7" t="n"/>
      <c r="F103" s="7" t="n"/>
      <c r="G103" s="6" t="n"/>
      <c r="H103" s="6">
        <f>IF(OR(E103="",F103=""),"",ROUND((F103-E103)*1440-N(G103),0))</f>
        <v/>
      </c>
    </row>
    <row r="104">
      <c r="A104" s="5" t="n"/>
      <c r="B104" s="6" t="n"/>
      <c r="C104" s="6" t="n"/>
      <c r="D104" s="6" t="n"/>
      <c r="E104" s="7" t="n"/>
      <c r="F104" s="7" t="n"/>
      <c r="G104" s="6" t="n"/>
      <c r="H104" s="6">
        <f>IF(OR(E104="",F104=""),"",ROUND((F104-E104)*1440-N(G104),0))</f>
        <v/>
      </c>
    </row>
    <row r="105">
      <c r="A105" s="5" t="n"/>
      <c r="B105" s="6" t="n"/>
      <c r="C105" s="6" t="n"/>
      <c r="D105" s="6" t="n"/>
      <c r="E105" s="7" t="n"/>
      <c r="F105" s="7" t="n"/>
      <c r="G105" s="6" t="n"/>
      <c r="H105" s="6">
        <f>IF(OR(E105="",F105=""),"",ROUND((F105-E105)*1440-N(G105),0))</f>
        <v/>
      </c>
    </row>
    <row r="106">
      <c r="A106" s="5" t="n"/>
      <c r="B106" s="6" t="n"/>
      <c r="C106" s="6" t="n"/>
      <c r="D106" s="6" t="n"/>
      <c r="E106" s="7" t="n"/>
      <c r="F106" s="7" t="n"/>
      <c r="G106" s="6" t="n"/>
      <c r="H106" s="6">
        <f>IF(OR(E106="",F106=""),"",ROUND((F106-E106)*1440-N(G106),0))</f>
        <v/>
      </c>
    </row>
    <row r="107">
      <c r="A107" s="5" t="n"/>
      <c r="B107" s="6" t="n"/>
      <c r="C107" s="6" t="n"/>
      <c r="D107" s="6" t="n"/>
      <c r="E107" s="7" t="n"/>
      <c r="F107" s="7" t="n"/>
      <c r="G107" s="6" t="n"/>
      <c r="H107" s="6">
        <f>IF(OR(E107="",F107=""),"",ROUND((F107-E107)*1440-N(G107),0))</f>
        <v/>
      </c>
    </row>
    <row r="108">
      <c r="A108" s="5" t="n"/>
      <c r="B108" s="6" t="n"/>
      <c r="C108" s="6" t="n"/>
      <c r="D108" s="6" t="n"/>
      <c r="E108" s="7" t="n"/>
      <c r="F108" s="7" t="n"/>
      <c r="G108" s="6" t="n"/>
      <c r="H108" s="6">
        <f>IF(OR(E108="",F108=""),"",ROUND((F108-E108)*1440-N(G108),0))</f>
        <v/>
      </c>
    </row>
    <row r="109">
      <c r="A109" s="5" t="n"/>
      <c r="B109" s="6" t="n"/>
      <c r="C109" s="6" t="n"/>
      <c r="D109" s="6" t="n"/>
      <c r="E109" s="7" t="n"/>
      <c r="F109" s="7" t="n"/>
      <c r="G109" s="6" t="n"/>
      <c r="H109" s="6">
        <f>IF(OR(E109="",F109=""),"",ROUND((F109-E109)*1440-N(G109),0))</f>
        <v/>
      </c>
    </row>
    <row r="110">
      <c r="A110" s="5" t="n"/>
      <c r="B110" s="6" t="n"/>
      <c r="C110" s="6" t="n"/>
      <c r="D110" s="6" t="n"/>
      <c r="E110" s="7" t="n"/>
      <c r="F110" s="7" t="n"/>
      <c r="G110" s="6" t="n"/>
      <c r="H110" s="6">
        <f>IF(OR(E110="",F110=""),"",ROUND((F110-E110)*1440-N(G110),0))</f>
        <v/>
      </c>
    </row>
    <row r="111">
      <c r="A111" s="5" t="n"/>
      <c r="B111" s="6" t="n"/>
      <c r="C111" s="6" t="n"/>
      <c r="D111" s="6" t="n"/>
      <c r="E111" s="7" t="n"/>
      <c r="F111" s="7" t="n"/>
      <c r="G111" s="6" t="n"/>
      <c r="H111" s="6">
        <f>IF(OR(E111="",F111=""),"",ROUND((F111-E111)*1440-N(G111),0))</f>
        <v/>
      </c>
    </row>
    <row r="112">
      <c r="A112" s="5" t="n"/>
      <c r="B112" s="6" t="n"/>
      <c r="C112" s="6" t="n"/>
      <c r="D112" s="6" t="n"/>
      <c r="E112" s="7" t="n"/>
      <c r="F112" s="7" t="n"/>
      <c r="G112" s="6" t="n"/>
      <c r="H112" s="6">
        <f>IF(OR(E112="",F112=""),"",ROUND((F112-E112)*1440-N(G112),0))</f>
        <v/>
      </c>
    </row>
    <row r="113">
      <c r="A113" s="5" t="n"/>
      <c r="B113" s="6" t="n"/>
      <c r="C113" s="6" t="n"/>
      <c r="D113" s="6" t="n"/>
      <c r="E113" s="7" t="n"/>
      <c r="F113" s="7" t="n"/>
      <c r="G113" s="6" t="n"/>
      <c r="H113" s="6">
        <f>IF(OR(E113="",F113=""),"",ROUND((F113-E113)*1440-N(G113),0))</f>
        <v/>
      </c>
    </row>
    <row r="114">
      <c r="A114" s="5" t="n"/>
      <c r="B114" s="6" t="n"/>
      <c r="C114" s="6" t="n"/>
      <c r="D114" s="6" t="n"/>
      <c r="E114" s="7" t="n"/>
      <c r="F114" s="7" t="n"/>
      <c r="G114" s="6" t="n"/>
      <c r="H114" s="6">
        <f>IF(OR(E114="",F114=""),"",ROUND((F114-E114)*1440-N(G114),0))</f>
        <v/>
      </c>
    </row>
    <row r="115">
      <c r="A115" s="5" t="n"/>
      <c r="B115" s="6" t="n"/>
      <c r="C115" s="6" t="n"/>
      <c r="D115" s="6" t="n"/>
      <c r="E115" s="7" t="n"/>
      <c r="F115" s="7" t="n"/>
      <c r="G115" s="6" t="n"/>
      <c r="H115" s="6">
        <f>IF(OR(E115="",F115=""),"",ROUND((F115-E115)*1440-N(G115),0))</f>
        <v/>
      </c>
    </row>
    <row r="116">
      <c r="A116" s="5" t="n"/>
      <c r="B116" s="6" t="n"/>
      <c r="C116" s="6" t="n"/>
      <c r="D116" s="6" t="n"/>
      <c r="E116" s="7" t="n"/>
      <c r="F116" s="7" t="n"/>
      <c r="G116" s="6" t="n"/>
      <c r="H116" s="6">
        <f>IF(OR(E116="",F116=""),"",ROUND((F116-E116)*1440-N(G116),0))</f>
        <v/>
      </c>
    </row>
    <row r="117">
      <c r="A117" s="5" t="n"/>
      <c r="B117" s="6" t="n"/>
      <c r="C117" s="6" t="n"/>
      <c r="D117" s="6" t="n"/>
      <c r="E117" s="7" t="n"/>
      <c r="F117" s="7" t="n"/>
      <c r="G117" s="6" t="n"/>
      <c r="H117" s="6">
        <f>IF(OR(E117="",F117=""),"",ROUND((F117-E117)*1440-N(G117),0))</f>
        <v/>
      </c>
    </row>
    <row r="118">
      <c r="A118" s="5" t="n"/>
      <c r="B118" s="6" t="n"/>
      <c r="C118" s="6" t="n"/>
      <c r="D118" s="6" t="n"/>
      <c r="E118" s="7" t="n"/>
      <c r="F118" s="7" t="n"/>
      <c r="G118" s="6" t="n"/>
      <c r="H118" s="6">
        <f>IF(OR(E118="",F118=""),"",ROUND((F118-E118)*1440-N(G118),0))</f>
        <v/>
      </c>
    </row>
    <row r="119">
      <c r="A119" s="5" t="n"/>
      <c r="B119" s="6" t="n"/>
      <c r="C119" s="6" t="n"/>
      <c r="D119" s="6" t="n"/>
      <c r="E119" s="7" t="n"/>
      <c r="F119" s="7" t="n"/>
      <c r="G119" s="6" t="n"/>
      <c r="H119" s="6">
        <f>IF(OR(E119="",F119=""),"",ROUND((F119-E119)*1440-N(G119),0))</f>
        <v/>
      </c>
    </row>
    <row r="120">
      <c r="A120" s="5" t="n"/>
      <c r="B120" s="6" t="n"/>
      <c r="C120" s="6" t="n"/>
      <c r="D120" s="6" t="n"/>
      <c r="E120" s="7" t="n"/>
      <c r="F120" s="7" t="n"/>
      <c r="G120" s="6" t="n"/>
      <c r="H120" s="6">
        <f>IF(OR(E120="",F120=""),"",ROUND((F120-E120)*1440-N(G120),0))</f>
        <v/>
      </c>
    </row>
    <row r="121">
      <c r="A121" s="5" t="n"/>
      <c r="B121" s="6" t="n"/>
      <c r="C121" s="6" t="n"/>
      <c r="D121" s="6" t="n"/>
      <c r="E121" s="7" t="n"/>
      <c r="F121" s="7" t="n"/>
      <c r="G121" s="6" t="n"/>
      <c r="H121" s="6">
        <f>IF(OR(E121="",F121=""),"",ROUND((F121-E121)*1440-N(G121),0))</f>
        <v/>
      </c>
    </row>
    <row r="122">
      <c r="A122" s="5" t="n"/>
      <c r="B122" s="6" t="n"/>
      <c r="C122" s="6" t="n"/>
      <c r="D122" s="6" t="n"/>
      <c r="E122" s="7" t="n"/>
      <c r="F122" s="7" t="n"/>
      <c r="G122" s="6" t="n"/>
      <c r="H122" s="6">
        <f>IF(OR(E122="",F122=""),"",ROUND((F122-E122)*1440-N(G122),0))</f>
        <v/>
      </c>
    </row>
    <row r="123">
      <c r="A123" s="5" t="n"/>
      <c r="B123" s="6" t="n"/>
      <c r="C123" s="6" t="n"/>
      <c r="D123" s="6" t="n"/>
      <c r="E123" s="7" t="n"/>
      <c r="F123" s="7" t="n"/>
      <c r="G123" s="6" t="n"/>
      <c r="H123" s="6">
        <f>IF(OR(E123="",F123=""),"",ROUND((F123-E123)*1440-N(G123),0))</f>
        <v/>
      </c>
    </row>
    <row r="124">
      <c r="A124" s="5" t="n"/>
      <c r="B124" s="6" t="n"/>
      <c r="C124" s="6" t="n"/>
      <c r="D124" s="6" t="n"/>
      <c r="E124" s="7" t="n"/>
      <c r="F124" s="7" t="n"/>
      <c r="G124" s="6" t="n"/>
      <c r="H124" s="6">
        <f>IF(OR(E124="",F124=""),"",ROUND((F124-E124)*1440-N(G124),0))</f>
        <v/>
      </c>
    </row>
    <row r="125">
      <c r="A125" s="5" t="n"/>
      <c r="B125" s="6" t="n"/>
      <c r="C125" s="6" t="n"/>
      <c r="D125" s="6" t="n"/>
      <c r="E125" s="7" t="n"/>
      <c r="F125" s="7" t="n"/>
      <c r="G125" s="6" t="n"/>
      <c r="H125" s="6">
        <f>IF(OR(E125="",F125=""),"",ROUND((F125-E125)*1440-N(G125),0))</f>
        <v/>
      </c>
    </row>
    <row r="126">
      <c r="A126" s="5" t="n"/>
      <c r="B126" s="6" t="n"/>
      <c r="C126" s="6" t="n"/>
      <c r="D126" s="6" t="n"/>
      <c r="E126" s="7" t="n"/>
      <c r="F126" s="7" t="n"/>
      <c r="G126" s="6" t="n"/>
      <c r="H126" s="6">
        <f>IF(OR(E126="",F126=""),"",ROUND((F126-E126)*1440-N(G126),0))</f>
        <v/>
      </c>
    </row>
    <row r="127">
      <c r="A127" s="5" t="n"/>
      <c r="B127" s="6" t="n"/>
      <c r="C127" s="6" t="n"/>
      <c r="D127" s="6" t="n"/>
      <c r="E127" s="7" t="n"/>
      <c r="F127" s="7" t="n"/>
      <c r="G127" s="6" t="n"/>
      <c r="H127" s="6">
        <f>IF(OR(E127="",F127=""),"",ROUND((F127-E127)*1440-N(G127),0))</f>
        <v/>
      </c>
    </row>
    <row r="128">
      <c r="A128" s="5" t="n"/>
      <c r="B128" s="6" t="n"/>
      <c r="C128" s="6" t="n"/>
      <c r="D128" s="6" t="n"/>
      <c r="E128" s="7" t="n"/>
      <c r="F128" s="7" t="n"/>
      <c r="G128" s="6" t="n"/>
      <c r="H128" s="6">
        <f>IF(OR(E128="",F128=""),"",ROUND((F128-E128)*1440-N(G128),0))</f>
        <v/>
      </c>
    </row>
    <row r="129">
      <c r="A129" s="5" t="n"/>
      <c r="B129" s="6" t="n"/>
      <c r="C129" s="6" t="n"/>
      <c r="D129" s="6" t="n"/>
      <c r="E129" s="7" t="n"/>
      <c r="F129" s="7" t="n"/>
      <c r="G129" s="6" t="n"/>
      <c r="H129" s="6">
        <f>IF(OR(E129="",F129=""),"",ROUND((F129-E129)*1440-N(G129),0))</f>
        <v/>
      </c>
    </row>
    <row r="130">
      <c r="A130" s="5" t="n"/>
      <c r="B130" s="6" t="n"/>
      <c r="C130" s="6" t="n"/>
      <c r="D130" s="6" t="n"/>
      <c r="E130" s="7" t="n"/>
      <c r="F130" s="7" t="n"/>
      <c r="G130" s="6" t="n"/>
      <c r="H130" s="6">
        <f>IF(OR(E130="",F130=""),"",ROUND((F130-E130)*1440-N(G130),0))</f>
        <v/>
      </c>
    </row>
    <row r="131">
      <c r="A131" s="5" t="n"/>
      <c r="B131" s="6" t="n"/>
      <c r="C131" s="6" t="n"/>
      <c r="D131" s="6" t="n"/>
      <c r="E131" s="7" t="n"/>
      <c r="F131" s="7" t="n"/>
      <c r="G131" s="6" t="n"/>
      <c r="H131" s="6">
        <f>IF(OR(E131="",F131=""),"",ROUND((F131-E131)*1440-N(G131),0))</f>
        <v/>
      </c>
    </row>
    <row r="132">
      <c r="A132" s="5" t="n"/>
      <c r="B132" s="6" t="n"/>
      <c r="C132" s="6" t="n"/>
      <c r="D132" s="6" t="n"/>
      <c r="E132" s="7" t="n"/>
      <c r="F132" s="7" t="n"/>
      <c r="G132" s="6" t="n"/>
      <c r="H132" s="6">
        <f>IF(OR(E132="",F132=""),"",ROUND((F132-E132)*1440-N(G132),0))</f>
        <v/>
      </c>
    </row>
    <row r="133">
      <c r="A133" s="5" t="n"/>
      <c r="B133" s="6" t="n"/>
      <c r="C133" s="6" t="n"/>
      <c r="D133" s="6" t="n"/>
      <c r="E133" s="7" t="n"/>
      <c r="F133" s="7" t="n"/>
      <c r="G133" s="6" t="n"/>
      <c r="H133" s="6">
        <f>IF(OR(E133="",F133=""),"",ROUND((F133-E133)*1440-N(G133),0))</f>
        <v/>
      </c>
    </row>
    <row r="134">
      <c r="A134" s="5" t="n"/>
      <c r="B134" s="6" t="n"/>
      <c r="C134" s="6" t="n"/>
      <c r="D134" s="6" t="n"/>
      <c r="E134" s="7" t="n"/>
      <c r="F134" s="7" t="n"/>
      <c r="G134" s="6" t="n"/>
      <c r="H134" s="6">
        <f>IF(OR(E134="",F134=""),"",ROUND((F134-E134)*1440-N(G134),0))</f>
        <v/>
      </c>
    </row>
    <row r="135">
      <c r="A135" s="5" t="n"/>
      <c r="B135" s="6" t="n"/>
      <c r="C135" s="6" t="n"/>
      <c r="D135" s="6" t="n"/>
      <c r="E135" s="7" t="n"/>
      <c r="F135" s="7" t="n"/>
      <c r="G135" s="6" t="n"/>
      <c r="H135" s="6">
        <f>IF(OR(E135="",F135=""),"",ROUND((F135-E135)*1440-N(G135),0))</f>
        <v/>
      </c>
    </row>
    <row r="136">
      <c r="A136" s="5" t="n"/>
      <c r="B136" s="6" t="n"/>
      <c r="C136" s="6" t="n"/>
      <c r="D136" s="6" t="n"/>
      <c r="E136" s="7" t="n"/>
      <c r="F136" s="7" t="n"/>
      <c r="G136" s="6" t="n"/>
      <c r="H136" s="6">
        <f>IF(OR(E136="",F136=""),"",ROUND((F136-E136)*1440-N(G136),0))</f>
        <v/>
      </c>
    </row>
    <row r="137">
      <c r="A137" s="5" t="n"/>
      <c r="B137" s="6" t="n"/>
      <c r="C137" s="6" t="n"/>
      <c r="D137" s="6" t="n"/>
      <c r="E137" s="7" t="n"/>
      <c r="F137" s="7" t="n"/>
      <c r="G137" s="6" t="n"/>
      <c r="H137" s="6">
        <f>IF(OR(E137="",F137=""),"",ROUND((F137-E137)*1440-N(G137),0))</f>
        <v/>
      </c>
    </row>
    <row r="138">
      <c r="A138" s="5" t="n"/>
      <c r="B138" s="6" t="n"/>
      <c r="C138" s="6" t="n"/>
      <c r="D138" s="6" t="n"/>
      <c r="E138" s="7" t="n"/>
      <c r="F138" s="7" t="n"/>
      <c r="G138" s="6" t="n"/>
      <c r="H138" s="6">
        <f>IF(OR(E138="",F138=""),"",ROUND((F138-E138)*1440-N(G138),0))</f>
        <v/>
      </c>
    </row>
    <row r="139">
      <c r="A139" s="5" t="n"/>
      <c r="B139" s="6" t="n"/>
      <c r="C139" s="6" t="n"/>
      <c r="D139" s="6" t="n"/>
      <c r="E139" s="7" t="n"/>
      <c r="F139" s="7" t="n"/>
      <c r="G139" s="6" t="n"/>
      <c r="H139" s="6">
        <f>IF(OR(E139="",F139=""),"",ROUND((F139-E139)*1440-N(G139),0))</f>
        <v/>
      </c>
    </row>
    <row r="140">
      <c r="A140" s="5" t="n"/>
      <c r="B140" s="6" t="n"/>
      <c r="C140" s="6" t="n"/>
      <c r="D140" s="6" t="n"/>
      <c r="E140" s="7" t="n"/>
      <c r="F140" s="7" t="n"/>
      <c r="G140" s="6" t="n"/>
      <c r="H140" s="6">
        <f>IF(OR(E140="",F140=""),"",ROUND((F140-E140)*1440-N(G140),0))</f>
        <v/>
      </c>
    </row>
    <row r="141">
      <c r="A141" s="5" t="n"/>
      <c r="B141" s="6" t="n"/>
      <c r="C141" s="6" t="n"/>
      <c r="D141" s="6" t="n"/>
      <c r="E141" s="7" t="n"/>
      <c r="F141" s="7" t="n"/>
      <c r="G141" s="6" t="n"/>
      <c r="H141" s="6">
        <f>IF(OR(E141="",F141=""),"",ROUND((F141-E141)*1440-N(G141),0))</f>
        <v/>
      </c>
    </row>
    <row r="142">
      <c r="A142" s="5" t="n"/>
      <c r="B142" s="6" t="n"/>
      <c r="C142" s="6" t="n"/>
      <c r="D142" s="6" t="n"/>
      <c r="E142" s="7" t="n"/>
      <c r="F142" s="7" t="n"/>
      <c r="G142" s="6" t="n"/>
      <c r="H142" s="6">
        <f>IF(OR(E142="",F142=""),"",ROUND((F142-E142)*1440-N(G142),0))</f>
        <v/>
      </c>
    </row>
    <row r="143">
      <c r="A143" s="5" t="n"/>
      <c r="B143" s="6" t="n"/>
      <c r="C143" s="6" t="n"/>
      <c r="D143" s="6" t="n"/>
      <c r="E143" s="7" t="n"/>
      <c r="F143" s="7" t="n"/>
      <c r="G143" s="6" t="n"/>
      <c r="H143" s="6">
        <f>IF(OR(E143="",F143=""),"",ROUND((F143-E143)*1440-N(G143),0))</f>
        <v/>
      </c>
    </row>
    <row r="144">
      <c r="A144" s="5" t="n"/>
      <c r="B144" s="6" t="n"/>
      <c r="C144" s="6" t="n"/>
      <c r="D144" s="6" t="n"/>
      <c r="E144" s="7" t="n"/>
      <c r="F144" s="7" t="n"/>
      <c r="G144" s="6" t="n"/>
      <c r="H144" s="6">
        <f>IF(OR(E144="",F144=""),"",ROUND((F144-E144)*1440-N(G144),0))</f>
        <v/>
      </c>
    </row>
    <row r="145">
      <c r="A145" s="5" t="n"/>
      <c r="B145" s="6" t="n"/>
      <c r="C145" s="6" t="n"/>
      <c r="D145" s="6" t="n"/>
      <c r="E145" s="7" t="n"/>
      <c r="F145" s="7" t="n"/>
      <c r="G145" s="6" t="n"/>
      <c r="H145" s="6">
        <f>IF(OR(E145="",F145=""),"",ROUND((F145-E145)*1440-N(G145),0))</f>
        <v/>
      </c>
    </row>
    <row r="146">
      <c r="A146" s="5" t="n"/>
      <c r="B146" s="6" t="n"/>
      <c r="C146" s="6" t="n"/>
      <c r="D146" s="6" t="n"/>
      <c r="E146" s="7" t="n"/>
      <c r="F146" s="7" t="n"/>
      <c r="G146" s="6" t="n"/>
      <c r="H146" s="6">
        <f>IF(OR(E146="",F146=""),"",ROUND((F146-E146)*1440-N(G146),0))</f>
        <v/>
      </c>
    </row>
    <row r="147">
      <c r="A147" s="5" t="n"/>
      <c r="B147" s="6" t="n"/>
      <c r="C147" s="6" t="n"/>
      <c r="D147" s="6" t="n"/>
      <c r="E147" s="7" t="n"/>
      <c r="F147" s="7" t="n"/>
      <c r="G147" s="6" t="n"/>
      <c r="H147" s="6">
        <f>IF(OR(E147="",F147=""),"",ROUND((F147-E147)*1440-N(G147),0))</f>
        <v/>
      </c>
    </row>
    <row r="148">
      <c r="A148" s="5" t="n"/>
      <c r="B148" s="6" t="n"/>
      <c r="C148" s="6" t="n"/>
      <c r="D148" s="6" t="n"/>
      <c r="E148" s="7" t="n"/>
      <c r="F148" s="7" t="n"/>
      <c r="G148" s="6" t="n"/>
      <c r="H148" s="6">
        <f>IF(OR(E148="",F148=""),"",ROUND((F148-E148)*1440-N(G148),0))</f>
        <v/>
      </c>
    </row>
    <row r="149">
      <c r="A149" s="5" t="n"/>
      <c r="B149" s="6" t="n"/>
      <c r="C149" s="6" t="n"/>
      <c r="D149" s="6" t="n"/>
      <c r="E149" s="7" t="n"/>
      <c r="F149" s="7" t="n"/>
      <c r="G149" s="6" t="n"/>
      <c r="H149" s="6">
        <f>IF(OR(E149="",F149=""),"",ROUND((F149-E149)*1440-N(G149),0))</f>
        <v/>
      </c>
    </row>
    <row r="150">
      <c r="A150" s="5" t="n"/>
      <c r="B150" s="6" t="n"/>
      <c r="C150" s="6" t="n"/>
      <c r="D150" s="6" t="n"/>
      <c r="E150" s="7" t="n"/>
      <c r="F150" s="7" t="n"/>
      <c r="G150" s="6" t="n"/>
      <c r="H150" s="6">
        <f>IF(OR(E150="",F150=""),"",ROUND((F150-E150)*1440-N(G150),0))</f>
        <v/>
      </c>
    </row>
    <row r="151">
      <c r="A151" s="5" t="n"/>
      <c r="B151" s="6" t="n"/>
      <c r="C151" s="6" t="n"/>
      <c r="D151" s="6" t="n"/>
      <c r="E151" s="7" t="n"/>
      <c r="F151" s="7" t="n"/>
      <c r="G151" s="6" t="n"/>
      <c r="H151" s="6">
        <f>IF(OR(E151="",F151=""),"",ROUND((F151-E151)*1440-N(G151),0))</f>
        <v/>
      </c>
    </row>
    <row r="152">
      <c r="A152" s="5" t="n"/>
      <c r="B152" s="6" t="n"/>
      <c r="C152" s="6" t="n"/>
      <c r="D152" s="6" t="n"/>
      <c r="E152" s="7" t="n"/>
      <c r="F152" s="7" t="n"/>
      <c r="G152" s="6" t="n"/>
      <c r="H152" s="6">
        <f>IF(OR(E152="",F152=""),"",ROUND((F152-E152)*1440-N(G152),0))</f>
        <v/>
      </c>
    </row>
    <row r="153">
      <c r="A153" s="5" t="n"/>
      <c r="B153" s="6" t="n"/>
      <c r="C153" s="6" t="n"/>
      <c r="D153" s="6" t="n"/>
      <c r="E153" s="7" t="n"/>
      <c r="F153" s="7" t="n"/>
      <c r="G153" s="6" t="n"/>
      <c r="H153" s="6">
        <f>IF(OR(E153="",F153=""),"",ROUND((F153-E153)*1440-N(G153),0))</f>
        <v/>
      </c>
    </row>
    <row r="154">
      <c r="A154" s="5" t="n"/>
      <c r="B154" s="6" t="n"/>
      <c r="C154" s="6" t="n"/>
      <c r="D154" s="6" t="n"/>
      <c r="E154" s="7" t="n"/>
      <c r="F154" s="7" t="n"/>
      <c r="G154" s="6" t="n"/>
      <c r="H154" s="6">
        <f>IF(OR(E154="",F154=""),"",ROUND((F154-E154)*1440-N(G154),0))</f>
        <v/>
      </c>
    </row>
    <row r="155">
      <c r="A155" s="5" t="n"/>
      <c r="B155" s="6" t="n"/>
      <c r="C155" s="6" t="n"/>
      <c r="D155" s="6" t="n"/>
      <c r="E155" s="7" t="n"/>
      <c r="F155" s="7" t="n"/>
      <c r="G155" s="6" t="n"/>
      <c r="H155" s="6">
        <f>IF(OR(E155="",F155=""),"",ROUND((F155-E155)*1440-N(G155),0))</f>
        <v/>
      </c>
    </row>
    <row r="156">
      <c r="A156" s="5" t="n"/>
      <c r="B156" s="6" t="n"/>
      <c r="C156" s="6" t="n"/>
      <c r="D156" s="6" t="n"/>
      <c r="E156" s="7" t="n"/>
      <c r="F156" s="7" t="n"/>
      <c r="G156" s="6" t="n"/>
      <c r="H156" s="6">
        <f>IF(OR(E156="",F156=""),"",ROUND((F156-E156)*1440-N(G156),0))</f>
        <v/>
      </c>
    </row>
    <row r="157">
      <c r="A157" s="5" t="n"/>
      <c r="B157" s="6" t="n"/>
      <c r="C157" s="6" t="n"/>
      <c r="D157" s="6" t="n"/>
      <c r="E157" s="7" t="n"/>
      <c r="F157" s="7" t="n"/>
      <c r="G157" s="6" t="n"/>
      <c r="H157" s="6">
        <f>IF(OR(E157="",F157=""),"",ROUND((F157-E157)*1440-N(G157),0))</f>
        <v/>
      </c>
    </row>
    <row r="158">
      <c r="A158" s="5" t="n"/>
      <c r="B158" s="6" t="n"/>
      <c r="C158" s="6" t="n"/>
      <c r="D158" s="6" t="n"/>
      <c r="E158" s="7" t="n"/>
      <c r="F158" s="7" t="n"/>
      <c r="G158" s="6" t="n"/>
      <c r="H158" s="6">
        <f>IF(OR(E158="",F158=""),"",ROUND((F158-E158)*1440-N(G158),0))</f>
        <v/>
      </c>
    </row>
    <row r="159">
      <c r="A159" s="5" t="n"/>
      <c r="B159" s="6" t="n"/>
      <c r="C159" s="6" t="n"/>
      <c r="D159" s="6" t="n"/>
      <c r="E159" s="7" t="n"/>
      <c r="F159" s="7" t="n"/>
      <c r="G159" s="6" t="n"/>
      <c r="H159" s="6">
        <f>IF(OR(E159="",F159=""),"",ROUND((F159-E159)*1440-N(G159),0))</f>
        <v/>
      </c>
    </row>
    <row r="160">
      <c r="A160" s="5" t="n"/>
      <c r="B160" s="6" t="n"/>
      <c r="C160" s="6" t="n"/>
      <c r="D160" s="6" t="n"/>
      <c r="E160" s="7" t="n"/>
      <c r="F160" s="7" t="n"/>
      <c r="G160" s="6" t="n"/>
      <c r="H160" s="6">
        <f>IF(OR(E160="",F160=""),"",ROUND((F160-E160)*1440-N(G160),0))</f>
        <v/>
      </c>
    </row>
    <row r="161">
      <c r="A161" s="5" t="n"/>
      <c r="B161" s="6" t="n"/>
      <c r="C161" s="6" t="n"/>
      <c r="D161" s="6" t="n"/>
      <c r="E161" s="7" t="n"/>
      <c r="F161" s="7" t="n"/>
      <c r="G161" s="6" t="n"/>
      <c r="H161" s="6">
        <f>IF(OR(E161="",F161=""),"",ROUND((F161-E161)*1440-N(G161),0))</f>
        <v/>
      </c>
    </row>
    <row r="162">
      <c r="A162" s="5" t="n"/>
      <c r="B162" s="6" t="n"/>
      <c r="C162" s="6" t="n"/>
      <c r="D162" s="6" t="n"/>
      <c r="E162" s="7" t="n"/>
      <c r="F162" s="7" t="n"/>
      <c r="G162" s="6" t="n"/>
      <c r="H162" s="6">
        <f>IF(OR(E162="",F162=""),"",ROUND((F162-E162)*1440-N(G162),0))</f>
        <v/>
      </c>
    </row>
    <row r="163">
      <c r="A163" s="5" t="n"/>
      <c r="B163" s="6" t="n"/>
      <c r="C163" s="6" t="n"/>
      <c r="D163" s="6" t="n"/>
      <c r="E163" s="7" t="n"/>
      <c r="F163" s="7" t="n"/>
      <c r="G163" s="6" t="n"/>
      <c r="H163" s="6">
        <f>IF(OR(E163="",F163=""),"",ROUND((F163-E163)*1440-N(G163),0))</f>
        <v/>
      </c>
    </row>
    <row r="164">
      <c r="A164" s="5" t="n"/>
      <c r="B164" s="6" t="n"/>
      <c r="C164" s="6" t="n"/>
      <c r="D164" s="6" t="n"/>
      <c r="E164" s="7" t="n"/>
      <c r="F164" s="7" t="n"/>
      <c r="G164" s="6" t="n"/>
      <c r="H164" s="6">
        <f>IF(OR(E164="",F164=""),"",ROUND((F164-E164)*1440-N(G164),0))</f>
        <v/>
      </c>
    </row>
    <row r="165">
      <c r="A165" s="5" t="n"/>
      <c r="B165" s="6" t="n"/>
      <c r="C165" s="6" t="n"/>
      <c r="D165" s="6" t="n"/>
      <c r="E165" s="7" t="n"/>
      <c r="F165" s="7" t="n"/>
      <c r="G165" s="6" t="n"/>
      <c r="H165" s="6">
        <f>IF(OR(E165="",F165=""),"",ROUND((F165-E165)*1440-N(G165),0))</f>
        <v/>
      </c>
    </row>
    <row r="166">
      <c r="A166" s="5" t="n"/>
      <c r="B166" s="6" t="n"/>
      <c r="C166" s="6" t="n"/>
      <c r="D166" s="6" t="n"/>
      <c r="E166" s="7" t="n"/>
      <c r="F166" s="7" t="n"/>
      <c r="G166" s="6" t="n"/>
      <c r="H166" s="6">
        <f>IF(OR(E166="",F166=""),"",ROUND((F166-E166)*1440-N(G166),0))</f>
        <v/>
      </c>
    </row>
    <row r="167">
      <c r="A167" s="5" t="n"/>
      <c r="B167" s="6" t="n"/>
      <c r="C167" s="6" t="n"/>
      <c r="D167" s="6" t="n"/>
      <c r="E167" s="7" t="n"/>
      <c r="F167" s="7" t="n"/>
      <c r="G167" s="6" t="n"/>
      <c r="H167" s="6">
        <f>IF(OR(E167="",F167=""),"",ROUND((F167-E167)*1440-N(G167),0))</f>
        <v/>
      </c>
    </row>
    <row r="168">
      <c r="A168" s="5" t="n"/>
      <c r="B168" s="6" t="n"/>
      <c r="C168" s="6" t="n"/>
      <c r="D168" s="6" t="n"/>
      <c r="E168" s="7" t="n"/>
      <c r="F168" s="7" t="n"/>
      <c r="G168" s="6" t="n"/>
      <c r="H168" s="6">
        <f>IF(OR(E168="",F168=""),"",ROUND((F168-E168)*1440-N(G168),0))</f>
        <v/>
      </c>
    </row>
    <row r="169">
      <c r="A169" s="5" t="n"/>
      <c r="B169" s="6" t="n"/>
      <c r="C169" s="6" t="n"/>
      <c r="D169" s="6" t="n"/>
      <c r="E169" s="7" t="n"/>
      <c r="F169" s="7" t="n"/>
      <c r="G169" s="6" t="n"/>
      <c r="H169" s="6">
        <f>IF(OR(E169="",F169=""),"",ROUND((F169-E169)*1440-N(G169),0))</f>
        <v/>
      </c>
    </row>
    <row r="170">
      <c r="A170" s="5" t="n"/>
      <c r="B170" s="6" t="n"/>
      <c r="C170" s="6" t="n"/>
      <c r="D170" s="6" t="n"/>
      <c r="E170" s="7" t="n"/>
      <c r="F170" s="7" t="n"/>
      <c r="G170" s="6" t="n"/>
      <c r="H170" s="6">
        <f>IF(OR(E170="",F170=""),"",ROUND((F170-E170)*1440-N(G170),0))</f>
        <v/>
      </c>
    </row>
    <row r="171">
      <c r="A171" s="5" t="n"/>
      <c r="B171" s="6" t="n"/>
      <c r="C171" s="6" t="n"/>
      <c r="D171" s="6" t="n"/>
      <c r="E171" s="7" t="n"/>
      <c r="F171" s="7" t="n"/>
      <c r="G171" s="6" t="n"/>
      <c r="H171" s="6">
        <f>IF(OR(E171="",F171=""),"",ROUND((F171-E171)*1440-N(G171),0))</f>
        <v/>
      </c>
    </row>
    <row r="172">
      <c r="A172" s="5" t="n"/>
      <c r="B172" s="6" t="n"/>
      <c r="C172" s="6" t="n"/>
      <c r="D172" s="6" t="n"/>
      <c r="E172" s="7" t="n"/>
      <c r="F172" s="7" t="n"/>
      <c r="G172" s="6" t="n"/>
      <c r="H172" s="6">
        <f>IF(OR(E172="",F172=""),"",ROUND((F172-E172)*1440-N(G172),0))</f>
        <v/>
      </c>
    </row>
    <row r="173">
      <c r="A173" s="5" t="n"/>
      <c r="B173" s="6" t="n"/>
      <c r="C173" s="6" t="n"/>
      <c r="D173" s="6" t="n"/>
      <c r="E173" s="7" t="n"/>
      <c r="F173" s="7" t="n"/>
      <c r="G173" s="6" t="n"/>
      <c r="H173" s="6">
        <f>IF(OR(E173="",F173=""),"",ROUND((F173-E173)*1440-N(G173),0))</f>
        <v/>
      </c>
    </row>
    <row r="174">
      <c r="A174" s="5" t="n"/>
      <c r="B174" s="6" t="n"/>
      <c r="C174" s="6" t="n"/>
      <c r="D174" s="6" t="n"/>
      <c r="E174" s="7" t="n"/>
      <c r="F174" s="7" t="n"/>
      <c r="G174" s="6" t="n"/>
      <c r="H174" s="6">
        <f>IF(OR(E174="",F174=""),"",ROUND((F174-E174)*1440-N(G174),0))</f>
        <v/>
      </c>
    </row>
    <row r="175">
      <c r="A175" s="5" t="n"/>
      <c r="B175" s="6" t="n"/>
      <c r="C175" s="6" t="n"/>
      <c r="D175" s="6" t="n"/>
      <c r="E175" s="7" t="n"/>
      <c r="F175" s="7" t="n"/>
      <c r="G175" s="6" t="n"/>
      <c r="H175" s="6">
        <f>IF(OR(E175="",F175=""),"",ROUND((F175-E175)*1440-N(G175),0))</f>
        <v/>
      </c>
    </row>
    <row r="176">
      <c r="A176" s="5" t="n"/>
      <c r="B176" s="6" t="n"/>
      <c r="C176" s="6" t="n"/>
      <c r="D176" s="6" t="n"/>
      <c r="E176" s="7" t="n"/>
      <c r="F176" s="7" t="n"/>
      <c r="G176" s="6" t="n"/>
      <c r="H176" s="6">
        <f>IF(OR(E176="",F176=""),"",ROUND((F176-E176)*1440-N(G176),0))</f>
        <v/>
      </c>
    </row>
    <row r="177">
      <c r="A177" s="5" t="n"/>
      <c r="B177" s="6" t="n"/>
      <c r="C177" s="6" t="n"/>
      <c r="D177" s="6" t="n"/>
      <c r="E177" s="7" t="n"/>
      <c r="F177" s="7" t="n"/>
      <c r="G177" s="6" t="n"/>
      <c r="H177" s="6">
        <f>IF(OR(E177="",F177=""),"",ROUND((F177-E177)*1440-N(G177),0))</f>
        <v/>
      </c>
    </row>
    <row r="178">
      <c r="A178" s="5" t="n"/>
      <c r="B178" s="6" t="n"/>
      <c r="C178" s="6" t="n"/>
      <c r="D178" s="6" t="n"/>
      <c r="E178" s="7" t="n"/>
      <c r="F178" s="7" t="n"/>
      <c r="G178" s="6" t="n"/>
      <c r="H178" s="6">
        <f>IF(OR(E178="",F178=""),"",ROUND((F178-E178)*1440-N(G178),0))</f>
        <v/>
      </c>
    </row>
    <row r="179">
      <c r="A179" s="5" t="n"/>
      <c r="B179" s="6" t="n"/>
      <c r="C179" s="6" t="n"/>
      <c r="D179" s="6" t="n"/>
      <c r="E179" s="7" t="n"/>
      <c r="F179" s="7" t="n"/>
      <c r="G179" s="6" t="n"/>
      <c r="H179" s="6">
        <f>IF(OR(E179="",F179=""),"",ROUND((F179-E179)*1440-N(G179),0))</f>
        <v/>
      </c>
    </row>
    <row r="180">
      <c r="A180" s="5" t="n"/>
      <c r="B180" s="6" t="n"/>
      <c r="C180" s="6" t="n"/>
      <c r="D180" s="6" t="n"/>
      <c r="E180" s="7" t="n"/>
      <c r="F180" s="7" t="n"/>
      <c r="G180" s="6" t="n"/>
      <c r="H180" s="6">
        <f>IF(OR(E180="",F180=""),"",ROUND((F180-E180)*1440-N(G180),0))</f>
        <v/>
      </c>
    </row>
    <row r="181">
      <c r="A181" s="5" t="n"/>
      <c r="B181" s="6" t="n"/>
      <c r="C181" s="6" t="n"/>
      <c r="D181" s="6" t="n"/>
      <c r="E181" s="7" t="n"/>
      <c r="F181" s="7" t="n"/>
      <c r="G181" s="6" t="n"/>
      <c r="H181" s="6">
        <f>IF(OR(E181="",F181=""),"",ROUND((F181-E181)*1440-N(G181),0))</f>
        <v/>
      </c>
    </row>
    <row r="182">
      <c r="A182" s="5" t="n"/>
      <c r="B182" s="6" t="n"/>
      <c r="C182" s="6" t="n"/>
      <c r="D182" s="6" t="n"/>
      <c r="E182" s="7" t="n"/>
      <c r="F182" s="7" t="n"/>
      <c r="G182" s="6" t="n"/>
      <c r="H182" s="6">
        <f>IF(OR(E182="",F182=""),"",ROUND((F182-E182)*1440-N(G182),0))</f>
        <v/>
      </c>
    </row>
    <row r="183">
      <c r="A183" s="5" t="n"/>
      <c r="B183" s="6" t="n"/>
      <c r="C183" s="6" t="n"/>
      <c r="D183" s="6" t="n"/>
      <c r="E183" s="7" t="n"/>
      <c r="F183" s="7" t="n"/>
      <c r="G183" s="6" t="n"/>
      <c r="H183" s="6">
        <f>IF(OR(E183="",F183=""),"",ROUND((F183-E183)*1440-N(G183),0))</f>
        <v/>
      </c>
    </row>
    <row r="184">
      <c r="A184" s="5" t="n"/>
      <c r="B184" s="6" t="n"/>
      <c r="C184" s="6" t="n"/>
      <c r="D184" s="6" t="n"/>
      <c r="E184" s="7" t="n"/>
      <c r="F184" s="7" t="n"/>
      <c r="G184" s="6" t="n"/>
      <c r="H184" s="6">
        <f>IF(OR(E184="",F184=""),"",ROUND((F184-E184)*1440-N(G184),0))</f>
        <v/>
      </c>
    </row>
    <row r="185">
      <c r="A185" s="5" t="n"/>
      <c r="B185" s="6" t="n"/>
      <c r="C185" s="6" t="n"/>
      <c r="D185" s="6" t="n"/>
      <c r="E185" s="7" t="n"/>
      <c r="F185" s="7" t="n"/>
      <c r="G185" s="6" t="n"/>
      <c r="H185" s="6">
        <f>IF(OR(E185="",F185=""),"",ROUND((F185-E185)*1440-N(G185),0))</f>
        <v/>
      </c>
    </row>
    <row r="186">
      <c r="A186" s="5" t="n"/>
      <c r="B186" s="6" t="n"/>
      <c r="C186" s="6" t="n"/>
      <c r="D186" s="6" t="n"/>
      <c r="E186" s="7" t="n"/>
      <c r="F186" s="7" t="n"/>
      <c r="G186" s="6" t="n"/>
      <c r="H186" s="6">
        <f>IF(OR(E186="",F186=""),"",ROUND((F186-E186)*1440-N(G186),0))</f>
        <v/>
      </c>
    </row>
    <row r="187">
      <c r="A187" s="5" t="n"/>
      <c r="B187" s="6" t="n"/>
      <c r="C187" s="6" t="n"/>
      <c r="D187" s="6" t="n"/>
      <c r="E187" s="7" t="n"/>
      <c r="F187" s="7" t="n"/>
      <c r="G187" s="6" t="n"/>
      <c r="H187" s="6">
        <f>IF(OR(E187="",F187=""),"",ROUND((F187-E187)*1440-N(G187),0))</f>
        <v/>
      </c>
    </row>
    <row r="188">
      <c r="A188" s="5" t="n"/>
      <c r="B188" s="6" t="n"/>
      <c r="C188" s="6" t="n"/>
      <c r="D188" s="6" t="n"/>
      <c r="E188" s="7" t="n"/>
      <c r="F188" s="7" t="n"/>
      <c r="G188" s="6" t="n"/>
      <c r="H188" s="6">
        <f>IF(OR(E188="",F188=""),"",ROUND((F188-E188)*1440-N(G188),0))</f>
        <v/>
      </c>
    </row>
    <row r="189">
      <c r="A189" s="5" t="n"/>
      <c r="B189" s="6" t="n"/>
      <c r="C189" s="6" t="n"/>
      <c r="D189" s="6" t="n"/>
      <c r="E189" s="7" t="n"/>
      <c r="F189" s="7" t="n"/>
      <c r="G189" s="6" t="n"/>
      <c r="H189" s="6">
        <f>IF(OR(E189="",F189=""),"",ROUND((F189-E189)*1440-N(G189),0))</f>
        <v/>
      </c>
    </row>
    <row r="190">
      <c r="A190" s="5" t="n"/>
      <c r="B190" s="6" t="n"/>
      <c r="C190" s="6" t="n"/>
      <c r="D190" s="6" t="n"/>
      <c r="E190" s="7" t="n"/>
      <c r="F190" s="7" t="n"/>
      <c r="G190" s="6" t="n"/>
      <c r="H190" s="6">
        <f>IF(OR(E190="",F190=""),"",ROUND((F190-E190)*1440-N(G190),0))</f>
        <v/>
      </c>
    </row>
    <row r="191">
      <c r="A191" s="5" t="n"/>
      <c r="B191" s="6" t="n"/>
      <c r="C191" s="6" t="n"/>
      <c r="D191" s="6" t="n"/>
      <c r="E191" s="7" t="n"/>
      <c r="F191" s="7" t="n"/>
      <c r="G191" s="6" t="n"/>
      <c r="H191" s="6">
        <f>IF(OR(E191="",F191=""),"",ROUND((F191-E191)*1440-N(G191),0))</f>
        <v/>
      </c>
    </row>
    <row r="192">
      <c r="A192" s="5" t="n"/>
      <c r="B192" s="6" t="n"/>
      <c r="C192" s="6" t="n"/>
      <c r="D192" s="6" t="n"/>
      <c r="E192" s="7" t="n"/>
      <c r="F192" s="7" t="n"/>
      <c r="G192" s="6" t="n"/>
      <c r="H192" s="6">
        <f>IF(OR(E192="",F192=""),"",ROUND((F192-E192)*1440-N(G192),0))</f>
        <v/>
      </c>
    </row>
    <row r="193">
      <c r="A193" s="5" t="n"/>
      <c r="B193" s="6" t="n"/>
      <c r="C193" s="6" t="n"/>
      <c r="D193" s="6" t="n"/>
      <c r="E193" s="7" t="n"/>
      <c r="F193" s="7" t="n"/>
      <c r="G193" s="6" t="n"/>
      <c r="H193" s="6">
        <f>IF(OR(E193="",F193=""),"",ROUND((F193-E193)*1440-N(G193),0))</f>
        <v/>
      </c>
    </row>
    <row r="194">
      <c r="A194" s="5" t="n"/>
      <c r="B194" s="6" t="n"/>
      <c r="C194" s="6" t="n"/>
      <c r="D194" s="6" t="n"/>
      <c r="E194" s="7" t="n"/>
      <c r="F194" s="7" t="n"/>
      <c r="G194" s="6" t="n"/>
      <c r="H194" s="6">
        <f>IF(OR(E194="",F194=""),"",ROUND((F194-E194)*1440-N(G194),0))</f>
        <v/>
      </c>
    </row>
    <row r="195">
      <c r="A195" s="5" t="n"/>
      <c r="B195" s="6" t="n"/>
      <c r="C195" s="6" t="n"/>
      <c r="D195" s="6" t="n"/>
      <c r="E195" s="7" t="n"/>
      <c r="F195" s="7" t="n"/>
      <c r="G195" s="6" t="n"/>
      <c r="H195" s="6">
        <f>IF(OR(E195="",F195=""),"",ROUND((F195-E195)*1440-N(G195),0))</f>
        <v/>
      </c>
    </row>
    <row r="196">
      <c r="A196" s="5" t="n"/>
      <c r="B196" s="6" t="n"/>
      <c r="C196" s="6" t="n"/>
      <c r="D196" s="6" t="n"/>
      <c r="E196" s="7" t="n"/>
      <c r="F196" s="7" t="n"/>
      <c r="G196" s="6" t="n"/>
      <c r="H196" s="6">
        <f>IF(OR(E196="",F196=""),"",ROUND((F196-E196)*1440-N(G196),0))</f>
        <v/>
      </c>
    </row>
    <row r="197">
      <c r="A197" s="5" t="n"/>
      <c r="B197" s="6" t="n"/>
      <c r="C197" s="6" t="n"/>
      <c r="D197" s="6" t="n"/>
      <c r="E197" s="7" t="n"/>
      <c r="F197" s="7" t="n"/>
      <c r="G197" s="6" t="n"/>
      <c r="H197" s="6">
        <f>IF(OR(E197="",F197=""),"",ROUND((F197-E197)*1440-N(G197),0))</f>
        <v/>
      </c>
    </row>
    <row r="198">
      <c r="A198" s="5" t="n"/>
      <c r="B198" s="6" t="n"/>
      <c r="C198" s="6" t="n"/>
      <c r="D198" s="6" t="n"/>
      <c r="E198" s="7" t="n"/>
      <c r="F198" s="7" t="n"/>
      <c r="G198" s="6" t="n"/>
      <c r="H198" s="6">
        <f>IF(OR(E198="",F198=""),"",ROUND((F198-E198)*1440-N(G198),0))</f>
        <v/>
      </c>
    </row>
    <row r="199">
      <c r="A199" s="5" t="n"/>
      <c r="B199" s="6" t="n"/>
      <c r="C199" s="6" t="n"/>
      <c r="D199" s="6" t="n"/>
      <c r="E199" s="7" t="n"/>
      <c r="F199" s="7" t="n"/>
      <c r="G199" s="6" t="n"/>
      <c r="H199" s="6">
        <f>IF(OR(E199="",F199=""),"",ROUND((F199-E199)*1440-N(G199),0))</f>
        <v/>
      </c>
    </row>
    <row r="200">
      <c r="A200" s="5" t="n"/>
      <c r="B200" s="6" t="n"/>
      <c r="C200" s="6" t="n"/>
      <c r="D200" s="6" t="n"/>
      <c r="E200" s="7" t="n"/>
      <c r="F200" s="7" t="n"/>
      <c r="G200" s="6" t="n"/>
      <c r="H200" s="6">
        <f>IF(OR(E200="",F200=""),"",ROUND((F200-E200)*1440-N(G200),0))</f>
        <v/>
      </c>
    </row>
    <row r="201">
      <c r="A201" s="5" t="n"/>
      <c r="B201" s="6" t="n"/>
      <c r="C201" s="6" t="n"/>
      <c r="D201" s="6" t="n"/>
      <c r="E201" s="7" t="n"/>
      <c r="F201" s="7" t="n"/>
      <c r="G201" s="6" t="n"/>
      <c r="H201" s="6">
        <f>IF(OR(E201="",F201=""),"",ROUND((F201-E201)*1440-N(G201),0))</f>
        <v/>
      </c>
    </row>
    <row r="202">
      <c r="A202" s="5" t="n"/>
      <c r="B202" s="6" t="n"/>
      <c r="C202" s="6" t="n"/>
      <c r="D202" s="6" t="n"/>
      <c r="E202" s="7" t="n"/>
      <c r="F202" s="7" t="n"/>
      <c r="G202" s="6" t="n"/>
      <c r="H202" s="6">
        <f>IF(OR(E202="",F202=""),"",ROUND((F202-E202)*1440-N(G202),0))</f>
        <v/>
      </c>
    </row>
    <row r="203">
      <c r="A203" s="5" t="n"/>
      <c r="B203" s="6" t="n"/>
      <c r="C203" s="6" t="n"/>
      <c r="D203" s="6" t="n"/>
      <c r="E203" s="7" t="n"/>
      <c r="F203" s="7" t="n"/>
      <c r="G203" s="6" t="n"/>
      <c r="H203" s="6">
        <f>IF(OR(E203="",F203=""),"",ROUND((F203-E203)*1440-N(G203),0))</f>
        <v/>
      </c>
    </row>
  </sheetData>
  <dataValidations count="3">
    <dataValidation sqref="B4:B203" showDropDown="0" showInputMessage="0" showErrorMessage="0" allowBlank="1" type="list">
      <formula1>"0,1,2,3,4"</formula1>
    </dataValidation>
    <dataValidation sqref="C4:C203" showDropDown="0" showInputMessage="0" showErrorMessage="0" allowBlank="1" type="list">
      <formula1>"Mikael Ramos,Kevin Zambrano"</formula1>
    </dataValidation>
    <dataValidation sqref="D4:D203" showDropDown="0" showInputMessage="0" showErrorMessage="0" allowBlank="1" type="list">
      <formula1>"Planificación,Diseño,Código,Revisión,Pruebas,Documentación"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03"/>
  <sheetViews>
    <sheetView workbookViewId="0">
      <pane ySplit="3" topLeftCell="A4" activePane="bottomLeft" state="frozen"/>
      <selection pane="bottomLeft" activeCell="A1" sqref="A1"/>
    </sheetView>
  </sheetViews>
  <sheetFormatPr baseColWidth="8" defaultRowHeight="15"/>
  <cols>
    <col width="10" customWidth="1" min="1" max="1"/>
    <col width="12" customWidth="1" min="2" max="2"/>
    <col width="8" customWidth="1" min="3" max="3"/>
    <col width="16" customWidth="1" min="4" max="4"/>
    <col width="11" customWidth="1" min="5" max="5"/>
    <col width="13" customWidth="1" min="6" max="6"/>
    <col width="13" customWidth="1" min="7" max="7"/>
    <col width="16" customWidth="1" min="8" max="8"/>
    <col width="16" customWidth="1" min="9" max="9"/>
    <col width="13" customWidth="1" min="10" max="10"/>
    <col width="18" customWidth="1" min="11" max="11"/>
    <col width="13" customWidth="1" min="12" max="12"/>
    <col width="70" customWidth="1" min="13" max="13"/>
  </cols>
  <sheetData>
    <row r="1">
      <c r="A1" s="4" t="inlineStr">
        <is>
          <t>Registro de defectos. Un defecto por fila; el identificador sigue el formato DEF-001.</t>
        </is>
      </c>
    </row>
    <row r="3">
      <c r="A3" s="2" t="inlineStr">
        <is>
          <t>ID</t>
        </is>
      </c>
      <c r="B3" s="2" t="inlineStr">
        <is>
          <t>Fecha</t>
        </is>
      </c>
      <c r="C3" s="2" t="inlineStr">
        <is>
          <t>Sprint</t>
        </is>
      </c>
      <c r="D3" s="2" t="inlineStr">
        <is>
          <t>Caso que lo encontró</t>
        </is>
      </c>
      <c r="E3" s="2" t="inlineStr">
        <is>
          <t>Requisito</t>
        </is>
      </c>
      <c r="F3" s="2" t="inlineStr">
        <is>
          <t>Severidad</t>
        </is>
      </c>
      <c r="G3" s="2" t="inlineStr">
        <is>
          <t>Tipo</t>
        </is>
      </c>
      <c r="H3" s="2" t="inlineStr">
        <is>
          <t>Fase donde nació</t>
        </is>
      </c>
      <c r="I3" s="2" t="inlineStr">
        <is>
          <t>Fase donde se halló</t>
        </is>
      </c>
      <c r="J3" s="2" t="inlineStr">
        <is>
          <t>Horas de corrección</t>
        </is>
      </c>
      <c r="K3" s="2" t="inlineStr">
        <is>
          <t>Quién lo introdujo</t>
        </is>
      </c>
      <c r="L3" s="2" t="inlineStr">
        <is>
          <t>Estado</t>
        </is>
      </c>
      <c r="M3" s="2" t="inlineStr">
        <is>
          <t>Descripción y corrección</t>
        </is>
      </c>
    </row>
    <row r="4">
      <c r="A4" s="6" t="inlineStr">
        <is>
          <t>DEF-01</t>
        </is>
      </c>
      <c r="B4" s="5" t="inlineStr">
        <is>
          <t>2026-10-28</t>
        </is>
      </c>
      <c r="C4" s="6" t="n"/>
      <c r="D4" s="6" t="inlineStr">
        <is>
          <t>CP-RF-13-02</t>
        </is>
      </c>
      <c r="E4" s="6" t="inlineStr">
        <is>
          <t>RF-13</t>
        </is>
      </c>
      <c r="F4" s="6" t="inlineStr">
        <is>
          <t>Media</t>
        </is>
      </c>
      <c r="G4" s="6" t="inlineStr">
        <is>
          <t>datos</t>
        </is>
      </c>
      <c r="H4" s="6" t="inlineStr">
        <is>
          <t>Diseño</t>
        </is>
      </c>
      <c r="I4" s="6" t="inlineStr">
        <is>
          <t>Pruebas</t>
        </is>
      </c>
      <c r="J4" s="6" t="n"/>
      <c r="K4" s="6" t="n"/>
      <c r="L4" s="6" t="inlineStr">
        <is>
          <t>Verificado</t>
        </is>
      </c>
      <c r="M4" s="3" t="inlineStr">
        <is>
          <t>La restricción CHECK de la base comparaba decimales como números flotantes y rechazaba un área no sembrable válida (0,9999 ha de 1,0 ha). Se cambió por una tolerancia de media diezmilésima (modelo y migración) y se verificó de punta a punta.</t>
        </is>
      </c>
    </row>
    <row r="5">
      <c r="A5" s="6" t="inlineStr">
        <is>
          <t>DEF-02</t>
        </is>
      </c>
      <c r="B5" s="5" t="inlineStr">
        <is>
          <t>2026-10-28</t>
        </is>
      </c>
      <c r="C5" s="6" t="n"/>
      <c r="D5" s="6" t="inlineStr">
        <is>
          <t>CP-RF-28-04</t>
        </is>
      </c>
      <c r="E5" s="6" t="inlineStr">
        <is>
          <t>RF-28</t>
        </is>
      </c>
      <c r="F5" s="6" t="inlineStr">
        <is>
          <t>Media</t>
        </is>
      </c>
      <c r="G5" s="6" t="inlineStr">
        <is>
          <t>interfaz</t>
        </is>
      </c>
      <c r="H5" s="6" t="inlineStr">
        <is>
          <t>Código</t>
        </is>
      </c>
      <c r="I5" s="6" t="inlineStr">
        <is>
          <t>Pruebas</t>
        </is>
      </c>
      <c r="J5" s="6" t="n"/>
      <c r="K5" s="6" t="n"/>
      <c r="L5" s="6" t="inlineStr">
        <is>
          <t>Verificado</t>
        </is>
      </c>
      <c r="M5" s="3" t="inlineStr">
        <is>
          <t>Cuando los gastos superan los ingresos la pantalla decía «Utilidad neta» con una cifra negativa, sin la palabra «Pérdida» ni color rojo. Ahora muestra «Pérdida» en rojo (la palabra evita depender solo del color).</t>
        </is>
      </c>
    </row>
    <row r="6">
      <c r="A6" s="6" t="inlineStr">
        <is>
          <t>DEF-03</t>
        </is>
      </c>
      <c r="B6" s="5" t="inlineStr">
        <is>
          <t>2026-10-28</t>
        </is>
      </c>
      <c r="C6" s="6" t="n"/>
      <c r="D6" s="6" t="inlineStr">
        <is>
          <t>CP-RF-28-08</t>
        </is>
      </c>
      <c r="E6" s="6" t="inlineStr">
        <is>
          <t>RF-28</t>
        </is>
      </c>
      <c r="F6" s="6" t="inlineStr">
        <is>
          <t>Baja</t>
        </is>
      </c>
      <c r="G6" s="6" t="inlineStr">
        <is>
          <t>interfaz</t>
        </is>
      </c>
      <c r="H6" s="6" t="inlineStr">
        <is>
          <t>Código</t>
        </is>
      </c>
      <c r="I6" s="6" t="inlineStr">
        <is>
          <t>Pruebas</t>
        </is>
      </c>
      <c r="J6" s="6" t="n"/>
      <c r="K6" s="6" t="n"/>
      <c r="L6" s="6" t="inlineStr">
        <is>
          <t>Verificado</t>
        </is>
      </c>
      <c r="M6" s="3" t="inlineStr">
        <is>
          <t>Los costos de la ficha técnica no avisaban que son orientativos. Se agregó «Son valores orientativos de la ficha técnica, no un presupuesto.»</t>
        </is>
      </c>
    </row>
    <row r="7">
      <c r="A7" s="6" t="inlineStr">
        <is>
          <t>DEF-04</t>
        </is>
      </c>
      <c r="B7" s="5" t="inlineStr">
        <is>
          <t>2026-10-28</t>
        </is>
      </c>
      <c r="C7" s="6" t="n"/>
      <c r="D7" s="6" t="inlineStr">
        <is>
          <t>CP-RNF-07</t>
        </is>
      </c>
      <c r="E7" s="6" t="inlineStr">
        <is>
          <t>RNF-07</t>
        </is>
      </c>
      <c r="F7" s="6" t="inlineStr">
        <is>
          <t>Media</t>
        </is>
      </c>
      <c r="G7" s="6" t="inlineStr">
        <is>
          <t>interfaz</t>
        </is>
      </c>
      <c r="H7" s="6" t="inlineStr">
        <is>
          <t>Código</t>
        </is>
      </c>
      <c r="I7" s="6" t="inlineStr">
        <is>
          <t>Pruebas</t>
        </is>
      </c>
      <c r="J7" s="6" t="n"/>
      <c r="K7" s="6" t="n"/>
      <c r="L7" s="6" t="inlineStr">
        <is>
          <t>Verificado</t>
        </is>
      </c>
      <c r="M7" s="3" t="inlineStr">
        <is>
          <t>Había textos de 14 a 17 px y controles de 32 a 46 px de alto (indicador de conexión, botones de insignia, enlace de política) frente a los 18 px y 48 px del plan. Se subió el tamaño a 18 px (ayudas, avisos y etiquetas) y a 48 px mínimo en los controles; navegación, indicadores y marcos quedan en 16 px.</t>
        </is>
      </c>
    </row>
    <row r="8">
      <c r="A8" s="6" t="inlineStr">
        <is>
          <t>DEF-05</t>
        </is>
      </c>
      <c r="B8" s="5" t="inlineStr">
        <is>
          <t>2026-10-28</t>
        </is>
      </c>
      <c r="C8" s="6" t="n"/>
      <c r="D8" s="6" t="inlineStr">
        <is>
          <t>CP-RF-04-01</t>
        </is>
      </c>
      <c r="E8" s="6" t="inlineStr">
        <is>
          <t>RF-04</t>
        </is>
      </c>
      <c r="F8" s="6" t="inlineStr">
        <is>
          <t>Baja</t>
        </is>
      </c>
      <c r="G8" s="6" t="inlineStr">
        <is>
          <t>interfaz</t>
        </is>
      </c>
      <c r="H8" s="6" t="inlineStr">
        <is>
          <t>Código</t>
        </is>
      </c>
      <c r="I8" s="6" t="inlineStr">
        <is>
          <t>Pruebas</t>
        </is>
      </c>
      <c r="J8" s="6" t="n"/>
      <c r="K8" s="6" t="n"/>
      <c r="L8" s="6" t="inlineStr">
        <is>
          <t>Verificado</t>
        </is>
      </c>
      <c r="M8" s="3" t="inlineStr">
        <is>
          <t>Si la persona tocaba «Cancelar» en la pregunta de cerrar sesión (o de cerrar el ciclo) y volvía a la pantalla, la pregunta seguía abierta. Ahora cada cambio de pantalla la reinicia.</t>
        </is>
      </c>
    </row>
    <row r="9">
      <c r="A9" s="6" t="n"/>
      <c r="B9" s="5" t="n"/>
      <c r="C9" s="6" t="n"/>
      <c r="D9" s="6" t="n"/>
      <c r="E9" s="6" t="n"/>
      <c r="F9" s="6" t="n"/>
      <c r="G9" s="6" t="n"/>
      <c r="H9" s="6" t="n"/>
      <c r="I9" s="6" t="n"/>
      <c r="J9" s="6" t="n"/>
      <c r="K9" s="6" t="n"/>
      <c r="L9" s="6" t="n"/>
    </row>
    <row r="10">
      <c r="A10" s="6" t="n"/>
      <c r="B10" s="5" t="n"/>
      <c r="C10" s="6" t="n"/>
      <c r="D10" s="6" t="n"/>
      <c r="E10" s="6" t="n"/>
      <c r="F10" s="6" t="n"/>
      <c r="G10" s="6" t="n"/>
      <c r="H10" s="6" t="n"/>
      <c r="I10" s="6" t="n"/>
      <c r="J10" s="6" t="n"/>
      <c r="K10" s="6" t="n"/>
      <c r="L10" s="6" t="n"/>
    </row>
    <row r="11">
      <c r="A11" s="6" t="n"/>
      <c r="B11" s="5" t="n"/>
      <c r="C11" s="6" t="n"/>
      <c r="D11" s="6" t="n"/>
      <c r="E11" s="6" t="n"/>
      <c r="F11" s="6" t="n"/>
      <c r="G11" s="6" t="n"/>
      <c r="H11" s="6" t="n"/>
      <c r="I11" s="6" t="n"/>
      <c r="J11" s="6" t="n"/>
      <c r="K11" s="6" t="n"/>
      <c r="L11" s="6" t="n"/>
    </row>
    <row r="12">
      <c r="A12" s="6" t="n"/>
      <c r="B12" s="5" t="n"/>
      <c r="C12" s="6" t="n"/>
      <c r="D12" s="6" t="n"/>
      <c r="E12" s="6" t="n"/>
      <c r="F12" s="6" t="n"/>
      <c r="G12" s="6" t="n"/>
      <c r="H12" s="6" t="n"/>
      <c r="I12" s="6" t="n"/>
      <c r="J12" s="6" t="n"/>
      <c r="K12" s="6" t="n"/>
      <c r="L12" s="6" t="n"/>
    </row>
    <row r="13">
      <c r="A13" s="6" t="n"/>
      <c r="B13" s="5" t="n"/>
      <c r="C13" s="6" t="n"/>
      <c r="D13" s="6" t="n"/>
      <c r="E13" s="6" t="n"/>
      <c r="F13" s="6" t="n"/>
      <c r="G13" s="6" t="n"/>
      <c r="H13" s="6" t="n"/>
      <c r="I13" s="6" t="n"/>
      <c r="J13" s="6" t="n"/>
      <c r="K13" s="6" t="n"/>
      <c r="L13" s="6" t="n"/>
    </row>
    <row r="14">
      <c r="A14" s="6" t="n"/>
      <c r="B14" s="5" t="n"/>
      <c r="C14" s="6" t="n"/>
      <c r="D14" s="6" t="n"/>
      <c r="E14" s="6" t="n"/>
      <c r="F14" s="6" t="n"/>
      <c r="G14" s="6" t="n"/>
      <c r="H14" s="6" t="n"/>
      <c r="I14" s="6" t="n"/>
      <c r="J14" s="6" t="n"/>
      <c r="K14" s="6" t="n"/>
      <c r="L14" s="6" t="n"/>
    </row>
    <row r="15">
      <c r="A15" s="6" t="n"/>
      <c r="B15" s="5" t="n"/>
      <c r="C15" s="6" t="n"/>
      <c r="D15" s="6" t="n"/>
      <c r="E15" s="6" t="n"/>
      <c r="F15" s="6" t="n"/>
      <c r="G15" s="6" t="n"/>
      <c r="H15" s="6" t="n"/>
      <c r="I15" s="6" t="n"/>
      <c r="J15" s="6" t="n"/>
      <c r="K15" s="6" t="n"/>
      <c r="L15" s="6" t="n"/>
    </row>
    <row r="16">
      <c r="A16" s="6" t="n"/>
      <c r="B16" s="5" t="n"/>
      <c r="C16" s="6" t="n"/>
      <c r="D16" s="6" t="n"/>
      <c r="E16" s="6" t="n"/>
      <c r="F16" s="6" t="n"/>
      <c r="G16" s="6" t="n"/>
      <c r="H16" s="6" t="n"/>
      <c r="I16" s="6" t="n"/>
      <c r="J16" s="6" t="n"/>
      <c r="K16" s="6" t="n"/>
      <c r="L16" s="6" t="n"/>
    </row>
    <row r="17">
      <c r="A17" s="6" t="n"/>
      <c r="B17" s="5" t="n"/>
      <c r="C17" s="6" t="n"/>
      <c r="D17" s="6" t="n"/>
      <c r="E17" s="6" t="n"/>
      <c r="F17" s="6" t="n"/>
      <c r="G17" s="6" t="n"/>
      <c r="H17" s="6" t="n"/>
      <c r="I17" s="6" t="n"/>
      <c r="J17" s="6" t="n"/>
      <c r="K17" s="6" t="n"/>
      <c r="L17" s="6" t="n"/>
    </row>
    <row r="18">
      <c r="A18" s="6" t="n"/>
      <c r="B18" s="5" t="n"/>
      <c r="C18" s="6" t="n"/>
      <c r="D18" s="6" t="n"/>
      <c r="E18" s="6" t="n"/>
      <c r="F18" s="6" t="n"/>
      <c r="G18" s="6" t="n"/>
      <c r="H18" s="6" t="n"/>
      <c r="I18" s="6" t="n"/>
      <c r="J18" s="6" t="n"/>
      <c r="K18" s="6" t="n"/>
      <c r="L18" s="6" t="n"/>
    </row>
    <row r="19">
      <c r="A19" s="6" t="n"/>
      <c r="B19" s="5" t="n"/>
      <c r="C19" s="6" t="n"/>
      <c r="D19" s="6" t="n"/>
      <c r="E19" s="6" t="n"/>
      <c r="F19" s="6" t="n"/>
      <c r="G19" s="6" t="n"/>
      <c r="H19" s="6" t="n"/>
      <c r="I19" s="6" t="n"/>
      <c r="J19" s="6" t="n"/>
      <c r="K19" s="6" t="n"/>
      <c r="L19" s="6" t="n"/>
    </row>
    <row r="20">
      <c r="A20" s="6" t="n"/>
      <c r="B20" s="5" t="n"/>
      <c r="C20" s="6" t="n"/>
      <c r="D20" s="6" t="n"/>
      <c r="E20" s="6" t="n"/>
      <c r="F20" s="6" t="n"/>
      <c r="G20" s="6" t="n"/>
      <c r="H20" s="6" t="n"/>
      <c r="I20" s="6" t="n"/>
      <c r="J20" s="6" t="n"/>
      <c r="K20" s="6" t="n"/>
      <c r="L20" s="6" t="n"/>
    </row>
    <row r="21">
      <c r="A21" s="6" t="n"/>
      <c r="B21" s="5" t="n"/>
      <c r="C21" s="6" t="n"/>
      <c r="D21" s="6" t="n"/>
      <c r="E21" s="6" t="n"/>
      <c r="F21" s="6" t="n"/>
      <c r="G21" s="6" t="n"/>
      <c r="H21" s="6" t="n"/>
      <c r="I21" s="6" t="n"/>
      <c r="J21" s="6" t="n"/>
      <c r="K21" s="6" t="n"/>
      <c r="L21" s="6" t="n"/>
    </row>
    <row r="22">
      <c r="A22" s="6" t="n"/>
      <c r="B22" s="5" t="n"/>
      <c r="C22" s="6" t="n"/>
      <c r="D22" s="6" t="n"/>
      <c r="E22" s="6" t="n"/>
      <c r="F22" s="6" t="n"/>
      <c r="G22" s="6" t="n"/>
      <c r="H22" s="6" t="n"/>
      <c r="I22" s="6" t="n"/>
      <c r="J22" s="6" t="n"/>
      <c r="K22" s="6" t="n"/>
      <c r="L22" s="6" t="n"/>
    </row>
    <row r="23">
      <c r="A23" s="6" t="n"/>
      <c r="B23" s="5" t="n"/>
      <c r="C23" s="6" t="n"/>
      <c r="D23" s="6" t="n"/>
      <c r="E23" s="6" t="n"/>
      <c r="F23" s="6" t="n"/>
      <c r="G23" s="6" t="n"/>
      <c r="H23" s="6" t="n"/>
      <c r="I23" s="6" t="n"/>
      <c r="J23" s="6" t="n"/>
      <c r="K23" s="6" t="n"/>
      <c r="L23" s="6" t="n"/>
    </row>
    <row r="24">
      <c r="A24" s="6" t="n"/>
      <c r="B24" s="5" t="n"/>
      <c r="C24" s="6" t="n"/>
      <c r="D24" s="6" t="n"/>
      <c r="E24" s="6" t="n"/>
      <c r="F24" s="6" t="n"/>
      <c r="G24" s="6" t="n"/>
      <c r="H24" s="6" t="n"/>
      <c r="I24" s="6" t="n"/>
      <c r="J24" s="6" t="n"/>
      <c r="K24" s="6" t="n"/>
      <c r="L24" s="6" t="n"/>
    </row>
    <row r="25">
      <c r="A25" s="6" t="n"/>
      <c r="B25" s="5" t="n"/>
      <c r="C25" s="6" t="n"/>
      <c r="D25" s="6" t="n"/>
      <c r="E25" s="6" t="n"/>
      <c r="F25" s="6" t="n"/>
      <c r="G25" s="6" t="n"/>
      <c r="H25" s="6" t="n"/>
      <c r="I25" s="6" t="n"/>
      <c r="J25" s="6" t="n"/>
      <c r="K25" s="6" t="n"/>
      <c r="L25" s="6" t="n"/>
    </row>
    <row r="26">
      <c r="A26" s="6" t="n"/>
      <c r="B26" s="5" t="n"/>
      <c r="C26" s="6" t="n"/>
      <c r="D26" s="6" t="n"/>
      <c r="E26" s="6" t="n"/>
      <c r="F26" s="6" t="n"/>
      <c r="G26" s="6" t="n"/>
      <c r="H26" s="6" t="n"/>
      <c r="I26" s="6" t="n"/>
      <c r="J26" s="6" t="n"/>
      <c r="K26" s="6" t="n"/>
      <c r="L26" s="6" t="n"/>
    </row>
    <row r="27">
      <c r="A27" s="6" t="n"/>
      <c r="B27" s="5" t="n"/>
      <c r="C27" s="6" t="n"/>
      <c r="D27" s="6" t="n"/>
      <c r="E27" s="6" t="n"/>
      <c r="F27" s="6" t="n"/>
      <c r="G27" s="6" t="n"/>
      <c r="H27" s="6" t="n"/>
      <c r="I27" s="6" t="n"/>
      <c r="J27" s="6" t="n"/>
      <c r="K27" s="6" t="n"/>
      <c r="L27" s="6" t="n"/>
    </row>
    <row r="28">
      <c r="A28" s="6" t="n"/>
      <c r="B28" s="5" t="n"/>
      <c r="C28" s="6" t="n"/>
      <c r="D28" s="6" t="n"/>
      <c r="E28" s="6" t="n"/>
      <c r="F28" s="6" t="n"/>
      <c r="G28" s="6" t="n"/>
      <c r="H28" s="6" t="n"/>
      <c r="I28" s="6" t="n"/>
      <c r="J28" s="6" t="n"/>
      <c r="K28" s="6" t="n"/>
      <c r="L28" s="6" t="n"/>
    </row>
    <row r="29">
      <c r="A29" s="6" t="n"/>
      <c r="B29" s="5" t="n"/>
      <c r="C29" s="6" t="n"/>
      <c r="D29" s="6" t="n"/>
      <c r="E29" s="6" t="n"/>
      <c r="F29" s="6" t="n"/>
      <c r="G29" s="6" t="n"/>
      <c r="H29" s="6" t="n"/>
      <c r="I29" s="6" t="n"/>
      <c r="J29" s="6" t="n"/>
      <c r="K29" s="6" t="n"/>
      <c r="L29" s="6" t="n"/>
    </row>
    <row r="30">
      <c r="A30" s="6" t="n"/>
      <c r="B30" s="5" t="n"/>
      <c r="C30" s="6" t="n"/>
      <c r="D30" s="6" t="n"/>
      <c r="E30" s="6" t="n"/>
      <c r="F30" s="6" t="n"/>
      <c r="G30" s="6" t="n"/>
      <c r="H30" s="6" t="n"/>
      <c r="I30" s="6" t="n"/>
      <c r="J30" s="6" t="n"/>
      <c r="K30" s="6" t="n"/>
      <c r="L30" s="6" t="n"/>
    </row>
    <row r="31">
      <c r="A31" s="6" t="n"/>
      <c r="B31" s="5" t="n"/>
      <c r="C31" s="6" t="n"/>
      <c r="D31" s="6" t="n"/>
      <c r="E31" s="6" t="n"/>
      <c r="F31" s="6" t="n"/>
      <c r="G31" s="6" t="n"/>
      <c r="H31" s="6" t="n"/>
      <c r="I31" s="6" t="n"/>
      <c r="J31" s="6" t="n"/>
      <c r="K31" s="6" t="n"/>
      <c r="L31" s="6" t="n"/>
    </row>
    <row r="32">
      <c r="A32" s="6" t="n"/>
      <c r="B32" s="5" t="n"/>
      <c r="C32" s="6" t="n"/>
      <c r="D32" s="6" t="n"/>
      <c r="E32" s="6" t="n"/>
      <c r="F32" s="6" t="n"/>
      <c r="G32" s="6" t="n"/>
      <c r="H32" s="6" t="n"/>
      <c r="I32" s="6" t="n"/>
      <c r="J32" s="6" t="n"/>
      <c r="K32" s="6" t="n"/>
      <c r="L32" s="6" t="n"/>
    </row>
    <row r="33">
      <c r="A33" s="6" t="n"/>
      <c r="B33" s="5" t="n"/>
      <c r="C33" s="6" t="n"/>
      <c r="D33" s="6" t="n"/>
      <c r="E33" s="6" t="n"/>
      <c r="F33" s="6" t="n"/>
      <c r="G33" s="6" t="n"/>
      <c r="H33" s="6" t="n"/>
      <c r="I33" s="6" t="n"/>
      <c r="J33" s="6" t="n"/>
      <c r="K33" s="6" t="n"/>
      <c r="L33" s="6" t="n"/>
    </row>
    <row r="34">
      <c r="A34" s="6" t="n"/>
      <c r="B34" s="5" t="n"/>
      <c r="C34" s="6" t="n"/>
      <c r="D34" s="6" t="n"/>
      <c r="E34" s="6" t="n"/>
      <c r="F34" s="6" t="n"/>
      <c r="G34" s="6" t="n"/>
      <c r="H34" s="6" t="n"/>
      <c r="I34" s="6" t="n"/>
      <c r="J34" s="6" t="n"/>
      <c r="K34" s="6" t="n"/>
      <c r="L34" s="6" t="n"/>
    </row>
    <row r="35">
      <c r="A35" s="6" t="n"/>
      <c r="B35" s="5" t="n"/>
      <c r="C35" s="6" t="n"/>
      <c r="D35" s="6" t="n"/>
      <c r="E35" s="6" t="n"/>
      <c r="F35" s="6" t="n"/>
      <c r="G35" s="6" t="n"/>
      <c r="H35" s="6" t="n"/>
      <c r="I35" s="6" t="n"/>
      <c r="J35" s="6" t="n"/>
      <c r="K35" s="6" t="n"/>
      <c r="L35" s="6" t="n"/>
    </row>
    <row r="36">
      <c r="A36" s="6" t="n"/>
      <c r="B36" s="5" t="n"/>
      <c r="C36" s="6" t="n"/>
      <c r="D36" s="6" t="n"/>
      <c r="E36" s="6" t="n"/>
      <c r="F36" s="6" t="n"/>
      <c r="G36" s="6" t="n"/>
      <c r="H36" s="6" t="n"/>
      <c r="I36" s="6" t="n"/>
      <c r="J36" s="6" t="n"/>
      <c r="K36" s="6" t="n"/>
      <c r="L36" s="6" t="n"/>
    </row>
    <row r="37">
      <c r="A37" s="6" t="n"/>
      <c r="B37" s="5" t="n"/>
      <c r="C37" s="6" t="n"/>
      <c r="D37" s="6" t="n"/>
      <c r="E37" s="6" t="n"/>
      <c r="F37" s="6" t="n"/>
      <c r="G37" s="6" t="n"/>
      <c r="H37" s="6" t="n"/>
      <c r="I37" s="6" t="n"/>
      <c r="J37" s="6" t="n"/>
      <c r="K37" s="6" t="n"/>
      <c r="L37" s="6" t="n"/>
    </row>
    <row r="38">
      <c r="A38" s="6" t="n"/>
      <c r="B38" s="5" t="n"/>
      <c r="C38" s="6" t="n"/>
      <c r="D38" s="6" t="n"/>
      <c r="E38" s="6" t="n"/>
      <c r="F38" s="6" t="n"/>
      <c r="G38" s="6" t="n"/>
      <c r="H38" s="6" t="n"/>
      <c r="I38" s="6" t="n"/>
      <c r="J38" s="6" t="n"/>
      <c r="K38" s="6" t="n"/>
      <c r="L38" s="6" t="n"/>
    </row>
    <row r="39">
      <c r="A39" s="6" t="n"/>
      <c r="B39" s="5" t="n"/>
      <c r="C39" s="6" t="n"/>
      <c r="D39" s="6" t="n"/>
      <c r="E39" s="6" t="n"/>
      <c r="F39" s="6" t="n"/>
      <c r="G39" s="6" t="n"/>
      <c r="H39" s="6" t="n"/>
      <c r="I39" s="6" t="n"/>
      <c r="J39" s="6" t="n"/>
      <c r="K39" s="6" t="n"/>
      <c r="L39" s="6" t="n"/>
    </row>
    <row r="40">
      <c r="A40" s="6" t="n"/>
      <c r="B40" s="5" t="n"/>
      <c r="C40" s="6" t="n"/>
      <c r="D40" s="6" t="n"/>
      <c r="E40" s="6" t="n"/>
      <c r="F40" s="6" t="n"/>
      <c r="G40" s="6" t="n"/>
      <c r="H40" s="6" t="n"/>
      <c r="I40" s="6" t="n"/>
      <c r="J40" s="6" t="n"/>
      <c r="K40" s="6" t="n"/>
      <c r="L40" s="6" t="n"/>
    </row>
    <row r="41">
      <c r="A41" s="6" t="n"/>
      <c r="B41" s="5" t="n"/>
      <c r="C41" s="6" t="n"/>
      <c r="D41" s="6" t="n"/>
      <c r="E41" s="6" t="n"/>
      <c r="F41" s="6" t="n"/>
      <c r="G41" s="6" t="n"/>
      <c r="H41" s="6" t="n"/>
      <c r="I41" s="6" t="n"/>
      <c r="J41" s="6" t="n"/>
      <c r="K41" s="6" t="n"/>
      <c r="L41" s="6" t="n"/>
    </row>
    <row r="42">
      <c r="A42" s="6" t="n"/>
      <c r="B42" s="5" t="n"/>
      <c r="C42" s="6" t="n"/>
      <c r="D42" s="6" t="n"/>
      <c r="E42" s="6" t="n"/>
      <c r="F42" s="6" t="n"/>
      <c r="G42" s="6" t="n"/>
      <c r="H42" s="6" t="n"/>
      <c r="I42" s="6" t="n"/>
      <c r="J42" s="6" t="n"/>
      <c r="K42" s="6" t="n"/>
      <c r="L42" s="6" t="n"/>
    </row>
    <row r="43">
      <c r="A43" s="6" t="n"/>
      <c r="B43" s="5" t="n"/>
      <c r="C43" s="6" t="n"/>
      <c r="D43" s="6" t="n"/>
      <c r="E43" s="6" t="n"/>
      <c r="F43" s="6" t="n"/>
      <c r="G43" s="6" t="n"/>
      <c r="H43" s="6" t="n"/>
      <c r="I43" s="6" t="n"/>
      <c r="J43" s="6" t="n"/>
      <c r="K43" s="6" t="n"/>
      <c r="L43" s="6" t="n"/>
    </row>
    <row r="44">
      <c r="A44" s="6" t="n"/>
      <c r="B44" s="5" t="n"/>
      <c r="C44" s="6" t="n"/>
      <c r="D44" s="6" t="n"/>
      <c r="E44" s="6" t="n"/>
      <c r="F44" s="6" t="n"/>
      <c r="G44" s="6" t="n"/>
      <c r="H44" s="6" t="n"/>
      <c r="I44" s="6" t="n"/>
      <c r="J44" s="6" t="n"/>
      <c r="K44" s="6" t="n"/>
      <c r="L44" s="6" t="n"/>
    </row>
    <row r="45">
      <c r="A45" s="6" t="n"/>
      <c r="B45" s="5" t="n"/>
      <c r="C45" s="6" t="n"/>
      <c r="D45" s="6" t="n"/>
      <c r="E45" s="6" t="n"/>
      <c r="F45" s="6" t="n"/>
      <c r="G45" s="6" t="n"/>
      <c r="H45" s="6" t="n"/>
      <c r="I45" s="6" t="n"/>
      <c r="J45" s="6" t="n"/>
      <c r="K45" s="6" t="n"/>
      <c r="L45" s="6" t="n"/>
    </row>
    <row r="46">
      <c r="A46" s="6" t="n"/>
      <c r="B46" s="5" t="n"/>
      <c r="C46" s="6" t="n"/>
      <c r="D46" s="6" t="n"/>
      <c r="E46" s="6" t="n"/>
      <c r="F46" s="6" t="n"/>
      <c r="G46" s="6" t="n"/>
      <c r="H46" s="6" t="n"/>
      <c r="I46" s="6" t="n"/>
      <c r="J46" s="6" t="n"/>
      <c r="K46" s="6" t="n"/>
      <c r="L46" s="6" t="n"/>
    </row>
    <row r="47">
      <c r="A47" s="6" t="n"/>
      <c r="B47" s="5" t="n"/>
      <c r="C47" s="6" t="n"/>
      <c r="D47" s="6" t="n"/>
      <c r="E47" s="6" t="n"/>
      <c r="F47" s="6" t="n"/>
      <c r="G47" s="6" t="n"/>
      <c r="H47" s="6" t="n"/>
      <c r="I47" s="6" t="n"/>
      <c r="J47" s="6" t="n"/>
      <c r="K47" s="6" t="n"/>
      <c r="L47" s="6" t="n"/>
    </row>
    <row r="48">
      <c r="A48" s="6" t="n"/>
      <c r="B48" s="5" t="n"/>
      <c r="C48" s="6" t="n"/>
      <c r="D48" s="6" t="n"/>
      <c r="E48" s="6" t="n"/>
      <c r="F48" s="6" t="n"/>
      <c r="G48" s="6" t="n"/>
      <c r="H48" s="6" t="n"/>
      <c r="I48" s="6" t="n"/>
      <c r="J48" s="6" t="n"/>
      <c r="K48" s="6" t="n"/>
      <c r="L48" s="6" t="n"/>
    </row>
    <row r="49">
      <c r="A49" s="6" t="n"/>
      <c r="B49" s="5" t="n"/>
      <c r="C49" s="6" t="n"/>
      <c r="D49" s="6" t="n"/>
      <c r="E49" s="6" t="n"/>
      <c r="F49" s="6" t="n"/>
      <c r="G49" s="6" t="n"/>
      <c r="H49" s="6" t="n"/>
      <c r="I49" s="6" t="n"/>
      <c r="J49" s="6" t="n"/>
      <c r="K49" s="6" t="n"/>
      <c r="L49" s="6" t="n"/>
    </row>
    <row r="50">
      <c r="A50" s="6" t="n"/>
      <c r="B50" s="5" t="n"/>
      <c r="C50" s="6" t="n"/>
      <c r="D50" s="6" t="n"/>
      <c r="E50" s="6" t="n"/>
      <c r="F50" s="6" t="n"/>
      <c r="G50" s="6" t="n"/>
      <c r="H50" s="6" t="n"/>
      <c r="I50" s="6" t="n"/>
      <c r="J50" s="6" t="n"/>
      <c r="K50" s="6" t="n"/>
      <c r="L50" s="6" t="n"/>
    </row>
    <row r="51">
      <c r="A51" s="6" t="n"/>
      <c r="B51" s="5" t="n"/>
      <c r="C51" s="6" t="n"/>
      <c r="D51" s="6" t="n"/>
      <c r="E51" s="6" t="n"/>
      <c r="F51" s="6" t="n"/>
      <c r="G51" s="6" t="n"/>
      <c r="H51" s="6" t="n"/>
      <c r="I51" s="6" t="n"/>
      <c r="J51" s="6" t="n"/>
      <c r="K51" s="6" t="n"/>
      <c r="L51" s="6" t="n"/>
    </row>
    <row r="52">
      <c r="A52" s="6" t="n"/>
      <c r="B52" s="5" t="n"/>
      <c r="C52" s="6" t="n"/>
      <c r="D52" s="6" t="n"/>
      <c r="E52" s="6" t="n"/>
      <c r="F52" s="6" t="n"/>
      <c r="G52" s="6" t="n"/>
      <c r="H52" s="6" t="n"/>
      <c r="I52" s="6" t="n"/>
      <c r="J52" s="6" t="n"/>
      <c r="K52" s="6" t="n"/>
      <c r="L52" s="6" t="n"/>
    </row>
    <row r="53">
      <c r="A53" s="6" t="n"/>
      <c r="B53" s="5" t="n"/>
      <c r="C53" s="6" t="n"/>
      <c r="D53" s="6" t="n"/>
      <c r="E53" s="6" t="n"/>
      <c r="F53" s="6" t="n"/>
      <c r="G53" s="6" t="n"/>
      <c r="H53" s="6" t="n"/>
      <c r="I53" s="6" t="n"/>
      <c r="J53" s="6" t="n"/>
      <c r="K53" s="6" t="n"/>
      <c r="L53" s="6" t="n"/>
    </row>
    <row r="54">
      <c r="A54" s="6" t="n"/>
      <c r="B54" s="5" t="n"/>
      <c r="C54" s="6" t="n"/>
      <c r="D54" s="6" t="n"/>
      <c r="E54" s="6" t="n"/>
      <c r="F54" s="6" t="n"/>
      <c r="G54" s="6" t="n"/>
      <c r="H54" s="6" t="n"/>
      <c r="I54" s="6" t="n"/>
      <c r="J54" s="6" t="n"/>
      <c r="K54" s="6" t="n"/>
      <c r="L54" s="6" t="n"/>
    </row>
    <row r="55">
      <c r="A55" s="6" t="n"/>
      <c r="B55" s="5" t="n"/>
      <c r="C55" s="6" t="n"/>
      <c r="D55" s="6" t="n"/>
      <c r="E55" s="6" t="n"/>
      <c r="F55" s="6" t="n"/>
      <c r="G55" s="6" t="n"/>
      <c r="H55" s="6" t="n"/>
      <c r="I55" s="6" t="n"/>
      <c r="J55" s="6" t="n"/>
      <c r="K55" s="6" t="n"/>
      <c r="L55" s="6" t="n"/>
    </row>
    <row r="56">
      <c r="A56" s="6" t="n"/>
      <c r="B56" s="5" t="n"/>
      <c r="C56" s="6" t="n"/>
      <c r="D56" s="6" t="n"/>
      <c r="E56" s="6" t="n"/>
      <c r="F56" s="6" t="n"/>
      <c r="G56" s="6" t="n"/>
      <c r="H56" s="6" t="n"/>
      <c r="I56" s="6" t="n"/>
      <c r="J56" s="6" t="n"/>
      <c r="K56" s="6" t="n"/>
      <c r="L56" s="6" t="n"/>
    </row>
    <row r="57">
      <c r="A57" s="6" t="n"/>
      <c r="B57" s="5" t="n"/>
      <c r="C57" s="6" t="n"/>
      <c r="D57" s="6" t="n"/>
      <c r="E57" s="6" t="n"/>
      <c r="F57" s="6" t="n"/>
      <c r="G57" s="6" t="n"/>
      <c r="H57" s="6" t="n"/>
      <c r="I57" s="6" t="n"/>
      <c r="J57" s="6" t="n"/>
      <c r="K57" s="6" t="n"/>
      <c r="L57" s="6" t="n"/>
    </row>
    <row r="58">
      <c r="A58" s="6" t="n"/>
      <c r="B58" s="5" t="n"/>
      <c r="C58" s="6" t="n"/>
      <c r="D58" s="6" t="n"/>
      <c r="E58" s="6" t="n"/>
      <c r="F58" s="6" t="n"/>
      <c r="G58" s="6" t="n"/>
      <c r="H58" s="6" t="n"/>
      <c r="I58" s="6" t="n"/>
      <c r="J58" s="6" t="n"/>
      <c r="K58" s="6" t="n"/>
      <c r="L58" s="6" t="n"/>
    </row>
    <row r="59">
      <c r="A59" s="6" t="n"/>
      <c r="B59" s="5" t="n"/>
      <c r="C59" s="6" t="n"/>
      <c r="D59" s="6" t="n"/>
      <c r="E59" s="6" t="n"/>
      <c r="F59" s="6" t="n"/>
      <c r="G59" s="6" t="n"/>
      <c r="H59" s="6" t="n"/>
      <c r="I59" s="6" t="n"/>
      <c r="J59" s="6" t="n"/>
      <c r="K59" s="6" t="n"/>
      <c r="L59" s="6" t="n"/>
    </row>
    <row r="60">
      <c r="A60" s="6" t="n"/>
      <c r="B60" s="5" t="n"/>
      <c r="C60" s="6" t="n"/>
      <c r="D60" s="6" t="n"/>
      <c r="E60" s="6" t="n"/>
      <c r="F60" s="6" t="n"/>
      <c r="G60" s="6" t="n"/>
      <c r="H60" s="6" t="n"/>
      <c r="I60" s="6" t="n"/>
      <c r="J60" s="6" t="n"/>
      <c r="K60" s="6" t="n"/>
      <c r="L60" s="6" t="n"/>
    </row>
    <row r="61">
      <c r="A61" s="6" t="n"/>
      <c r="B61" s="5" t="n"/>
      <c r="C61" s="6" t="n"/>
      <c r="D61" s="6" t="n"/>
      <c r="E61" s="6" t="n"/>
      <c r="F61" s="6" t="n"/>
      <c r="G61" s="6" t="n"/>
      <c r="H61" s="6" t="n"/>
      <c r="I61" s="6" t="n"/>
      <c r="J61" s="6" t="n"/>
      <c r="K61" s="6" t="n"/>
      <c r="L61" s="6" t="n"/>
    </row>
    <row r="62">
      <c r="A62" s="6" t="n"/>
      <c r="B62" s="5" t="n"/>
      <c r="C62" s="6" t="n"/>
      <c r="D62" s="6" t="n"/>
      <c r="E62" s="6" t="n"/>
      <c r="F62" s="6" t="n"/>
      <c r="G62" s="6" t="n"/>
      <c r="H62" s="6" t="n"/>
      <c r="I62" s="6" t="n"/>
      <c r="J62" s="6" t="n"/>
      <c r="K62" s="6" t="n"/>
      <c r="L62" s="6" t="n"/>
    </row>
    <row r="63">
      <c r="A63" s="6" t="n"/>
      <c r="B63" s="5" t="n"/>
      <c r="C63" s="6" t="n"/>
      <c r="D63" s="6" t="n"/>
      <c r="E63" s="6" t="n"/>
      <c r="F63" s="6" t="n"/>
      <c r="G63" s="6" t="n"/>
      <c r="H63" s="6" t="n"/>
      <c r="I63" s="6" t="n"/>
      <c r="J63" s="6" t="n"/>
      <c r="K63" s="6" t="n"/>
      <c r="L63" s="6" t="n"/>
    </row>
    <row r="64">
      <c r="A64" s="6" t="n"/>
      <c r="B64" s="5" t="n"/>
      <c r="C64" s="6" t="n"/>
      <c r="D64" s="6" t="n"/>
      <c r="E64" s="6" t="n"/>
      <c r="F64" s="6" t="n"/>
      <c r="G64" s="6" t="n"/>
      <c r="H64" s="6" t="n"/>
      <c r="I64" s="6" t="n"/>
      <c r="J64" s="6" t="n"/>
      <c r="K64" s="6" t="n"/>
      <c r="L64" s="6" t="n"/>
    </row>
    <row r="65">
      <c r="A65" s="6" t="n"/>
      <c r="B65" s="5" t="n"/>
      <c r="C65" s="6" t="n"/>
      <c r="D65" s="6" t="n"/>
      <c r="E65" s="6" t="n"/>
      <c r="F65" s="6" t="n"/>
      <c r="G65" s="6" t="n"/>
      <c r="H65" s="6" t="n"/>
      <c r="I65" s="6" t="n"/>
      <c r="J65" s="6" t="n"/>
      <c r="K65" s="6" t="n"/>
      <c r="L65" s="6" t="n"/>
    </row>
    <row r="66">
      <c r="A66" s="6" t="n"/>
      <c r="B66" s="5" t="n"/>
      <c r="C66" s="6" t="n"/>
      <c r="D66" s="6" t="n"/>
      <c r="E66" s="6" t="n"/>
      <c r="F66" s="6" t="n"/>
      <c r="G66" s="6" t="n"/>
      <c r="H66" s="6" t="n"/>
      <c r="I66" s="6" t="n"/>
      <c r="J66" s="6" t="n"/>
      <c r="K66" s="6" t="n"/>
      <c r="L66" s="6" t="n"/>
    </row>
    <row r="67">
      <c r="A67" s="6" t="n"/>
      <c r="B67" s="5" t="n"/>
      <c r="C67" s="6" t="n"/>
      <c r="D67" s="6" t="n"/>
      <c r="E67" s="6" t="n"/>
      <c r="F67" s="6" t="n"/>
      <c r="G67" s="6" t="n"/>
      <c r="H67" s="6" t="n"/>
      <c r="I67" s="6" t="n"/>
      <c r="J67" s="6" t="n"/>
      <c r="K67" s="6" t="n"/>
      <c r="L67" s="6" t="n"/>
    </row>
    <row r="68">
      <c r="A68" s="6" t="n"/>
      <c r="B68" s="5" t="n"/>
      <c r="C68" s="6" t="n"/>
      <c r="D68" s="6" t="n"/>
      <c r="E68" s="6" t="n"/>
      <c r="F68" s="6" t="n"/>
      <c r="G68" s="6" t="n"/>
      <c r="H68" s="6" t="n"/>
      <c r="I68" s="6" t="n"/>
      <c r="J68" s="6" t="n"/>
      <c r="K68" s="6" t="n"/>
      <c r="L68" s="6" t="n"/>
    </row>
    <row r="69">
      <c r="A69" s="6" t="n"/>
      <c r="B69" s="5" t="n"/>
      <c r="C69" s="6" t="n"/>
      <c r="D69" s="6" t="n"/>
      <c r="E69" s="6" t="n"/>
      <c r="F69" s="6" t="n"/>
      <c r="G69" s="6" t="n"/>
      <c r="H69" s="6" t="n"/>
      <c r="I69" s="6" t="n"/>
      <c r="J69" s="6" t="n"/>
      <c r="K69" s="6" t="n"/>
      <c r="L69" s="6" t="n"/>
    </row>
    <row r="70">
      <c r="A70" s="6" t="n"/>
      <c r="B70" s="5" t="n"/>
      <c r="C70" s="6" t="n"/>
      <c r="D70" s="6" t="n"/>
      <c r="E70" s="6" t="n"/>
      <c r="F70" s="6" t="n"/>
      <c r="G70" s="6" t="n"/>
      <c r="H70" s="6" t="n"/>
      <c r="I70" s="6" t="n"/>
      <c r="J70" s="6" t="n"/>
      <c r="K70" s="6" t="n"/>
      <c r="L70" s="6" t="n"/>
    </row>
    <row r="71">
      <c r="A71" s="6" t="n"/>
      <c r="B71" s="5" t="n"/>
      <c r="C71" s="6" t="n"/>
      <c r="D71" s="6" t="n"/>
      <c r="E71" s="6" t="n"/>
      <c r="F71" s="6" t="n"/>
      <c r="G71" s="6" t="n"/>
      <c r="H71" s="6" t="n"/>
      <c r="I71" s="6" t="n"/>
      <c r="J71" s="6" t="n"/>
      <c r="K71" s="6" t="n"/>
      <c r="L71" s="6" t="n"/>
    </row>
    <row r="72">
      <c r="A72" s="6" t="n"/>
      <c r="B72" s="5" t="n"/>
      <c r="C72" s="6" t="n"/>
      <c r="D72" s="6" t="n"/>
      <c r="E72" s="6" t="n"/>
      <c r="F72" s="6" t="n"/>
      <c r="G72" s="6" t="n"/>
      <c r="H72" s="6" t="n"/>
      <c r="I72" s="6" t="n"/>
      <c r="J72" s="6" t="n"/>
      <c r="K72" s="6" t="n"/>
      <c r="L72" s="6" t="n"/>
    </row>
    <row r="73">
      <c r="A73" s="6" t="n"/>
      <c r="B73" s="5" t="n"/>
      <c r="C73" s="6" t="n"/>
      <c r="D73" s="6" t="n"/>
      <c r="E73" s="6" t="n"/>
      <c r="F73" s="6" t="n"/>
      <c r="G73" s="6" t="n"/>
      <c r="H73" s="6" t="n"/>
      <c r="I73" s="6" t="n"/>
      <c r="J73" s="6" t="n"/>
      <c r="K73" s="6" t="n"/>
      <c r="L73" s="6" t="n"/>
    </row>
    <row r="74">
      <c r="A74" s="6" t="n"/>
      <c r="B74" s="5" t="n"/>
      <c r="C74" s="6" t="n"/>
      <c r="D74" s="6" t="n"/>
      <c r="E74" s="6" t="n"/>
      <c r="F74" s="6" t="n"/>
      <c r="G74" s="6" t="n"/>
      <c r="H74" s="6" t="n"/>
      <c r="I74" s="6" t="n"/>
      <c r="J74" s="6" t="n"/>
      <c r="K74" s="6" t="n"/>
      <c r="L74" s="6" t="n"/>
    </row>
    <row r="75">
      <c r="A75" s="6" t="n"/>
      <c r="B75" s="5" t="n"/>
      <c r="C75" s="6" t="n"/>
      <c r="D75" s="6" t="n"/>
      <c r="E75" s="6" t="n"/>
      <c r="F75" s="6" t="n"/>
      <c r="G75" s="6" t="n"/>
      <c r="H75" s="6" t="n"/>
      <c r="I75" s="6" t="n"/>
      <c r="J75" s="6" t="n"/>
      <c r="K75" s="6" t="n"/>
      <c r="L75" s="6" t="n"/>
    </row>
    <row r="76">
      <c r="A76" s="6" t="n"/>
      <c r="B76" s="5" t="n"/>
      <c r="C76" s="6" t="n"/>
      <c r="D76" s="6" t="n"/>
      <c r="E76" s="6" t="n"/>
      <c r="F76" s="6" t="n"/>
      <c r="G76" s="6" t="n"/>
      <c r="H76" s="6" t="n"/>
      <c r="I76" s="6" t="n"/>
      <c r="J76" s="6" t="n"/>
      <c r="K76" s="6" t="n"/>
      <c r="L76" s="6" t="n"/>
    </row>
    <row r="77">
      <c r="A77" s="6" t="n"/>
      <c r="B77" s="5" t="n"/>
      <c r="C77" s="6" t="n"/>
      <c r="D77" s="6" t="n"/>
      <c r="E77" s="6" t="n"/>
      <c r="F77" s="6" t="n"/>
      <c r="G77" s="6" t="n"/>
      <c r="H77" s="6" t="n"/>
      <c r="I77" s="6" t="n"/>
      <c r="J77" s="6" t="n"/>
      <c r="K77" s="6" t="n"/>
      <c r="L77" s="6" t="n"/>
    </row>
    <row r="78">
      <c r="A78" s="6" t="n"/>
      <c r="B78" s="5" t="n"/>
      <c r="C78" s="6" t="n"/>
      <c r="D78" s="6" t="n"/>
      <c r="E78" s="6" t="n"/>
      <c r="F78" s="6" t="n"/>
      <c r="G78" s="6" t="n"/>
      <c r="H78" s="6" t="n"/>
      <c r="I78" s="6" t="n"/>
      <c r="J78" s="6" t="n"/>
      <c r="K78" s="6" t="n"/>
      <c r="L78" s="6" t="n"/>
    </row>
    <row r="79">
      <c r="A79" s="6" t="n"/>
      <c r="B79" s="5" t="n"/>
      <c r="C79" s="6" t="n"/>
      <c r="D79" s="6" t="n"/>
      <c r="E79" s="6" t="n"/>
      <c r="F79" s="6" t="n"/>
      <c r="G79" s="6" t="n"/>
      <c r="H79" s="6" t="n"/>
      <c r="I79" s="6" t="n"/>
      <c r="J79" s="6" t="n"/>
      <c r="K79" s="6" t="n"/>
      <c r="L79" s="6" t="n"/>
    </row>
    <row r="80">
      <c r="A80" s="6" t="n"/>
      <c r="B80" s="5" t="n"/>
      <c r="C80" s="6" t="n"/>
      <c r="D80" s="6" t="n"/>
      <c r="E80" s="6" t="n"/>
      <c r="F80" s="6" t="n"/>
      <c r="G80" s="6" t="n"/>
      <c r="H80" s="6" t="n"/>
      <c r="I80" s="6" t="n"/>
      <c r="J80" s="6" t="n"/>
      <c r="K80" s="6" t="n"/>
      <c r="L80" s="6" t="n"/>
    </row>
    <row r="81">
      <c r="A81" s="6" t="n"/>
      <c r="B81" s="5" t="n"/>
      <c r="C81" s="6" t="n"/>
      <c r="D81" s="6" t="n"/>
      <c r="E81" s="6" t="n"/>
      <c r="F81" s="6" t="n"/>
      <c r="G81" s="6" t="n"/>
      <c r="H81" s="6" t="n"/>
      <c r="I81" s="6" t="n"/>
      <c r="J81" s="6" t="n"/>
      <c r="K81" s="6" t="n"/>
      <c r="L81" s="6" t="n"/>
    </row>
    <row r="82">
      <c r="A82" s="6" t="n"/>
      <c r="B82" s="5" t="n"/>
      <c r="C82" s="6" t="n"/>
      <c r="D82" s="6" t="n"/>
      <c r="E82" s="6" t="n"/>
      <c r="F82" s="6" t="n"/>
      <c r="G82" s="6" t="n"/>
      <c r="H82" s="6" t="n"/>
      <c r="I82" s="6" t="n"/>
      <c r="J82" s="6" t="n"/>
      <c r="K82" s="6" t="n"/>
      <c r="L82" s="6" t="n"/>
    </row>
    <row r="83">
      <c r="A83" s="6" t="n"/>
      <c r="B83" s="5" t="n"/>
      <c r="C83" s="6" t="n"/>
      <c r="D83" s="6" t="n"/>
      <c r="E83" s="6" t="n"/>
      <c r="F83" s="6" t="n"/>
      <c r="G83" s="6" t="n"/>
      <c r="H83" s="6" t="n"/>
      <c r="I83" s="6" t="n"/>
      <c r="J83" s="6" t="n"/>
      <c r="K83" s="6" t="n"/>
      <c r="L83" s="6" t="n"/>
    </row>
    <row r="84">
      <c r="A84" s="6" t="n"/>
      <c r="B84" s="5" t="n"/>
      <c r="C84" s="6" t="n"/>
      <c r="D84" s="6" t="n"/>
      <c r="E84" s="6" t="n"/>
      <c r="F84" s="6" t="n"/>
      <c r="G84" s="6" t="n"/>
      <c r="H84" s="6" t="n"/>
      <c r="I84" s="6" t="n"/>
      <c r="J84" s="6" t="n"/>
      <c r="K84" s="6" t="n"/>
      <c r="L84" s="6" t="n"/>
    </row>
    <row r="85">
      <c r="A85" s="6" t="n"/>
      <c r="B85" s="5" t="n"/>
      <c r="C85" s="6" t="n"/>
      <c r="D85" s="6" t="n"/>
      <c r="E85" s="6" t="n"/>
      <c r="F85" s="6" t="n"/>
      <c r="G85" s="6" t="n"/>
      <c r="H85" s="6" t="n"/>
      <c r="I85" s="6" t="n"/>
      <c r="J85" s="6" t="n"/>
      <c r="K85" s="6" t="n"/>
      <c r="L85" s="6" t="n"/>
    </row>
    <row r="86">
      <c r="A86" s="6" t="n"/>
      <c r="B86" s="5" t="n"/>
      <c r="C86" s="6" t="n"/>
      <c r="D86" s="6" t="n"/>
      <c r="E86" s="6" t="n"/>
      <c r="F86" s="6" t="n"/>
      <c r="G86" s="6" t="n"/>
      <c r="H86" s="6" t="n"/>
      <c r="I86" s="6" t="n"/>
      <c r="J86" s="6" t="n"/>
      <c r="K86" s="6" t="n"/>
      <c r="L86" s="6" t="n"/>
    </row>
    <row r="87">
      <c r="A87" s="6" t="n"/>
      <c r="B87" s="5" t="n"/>
      <c r="C87" s="6" t="n"/>
      <c r="D87" s="6" t="n"/>
      <c r="E87" s="6" t="n"/>
      <c r="F87" s="6" t="n"/>
      <c r="G87" s="6" t="n"/>
      <c r="H87" s="6" t="n"/>
      <c r="I87" s="6" t="n"/>
      <c r="J87" s="6" t="n"/>
      <c r="K87" s="6" t="n"/>
      <c r="L87" s="6" t="n"/>
    </row>
    <row r="88">
      <c r="A88" s="6" t="n"/>
      <c r="B88" s="5" t="n"/>
      <c r="C88" s="6" t="n"/>
      <c r="D88" s="6" t="n"/>
      <c r="E88" s="6" t="n"/>
      <c r="F88" s="6" t="n"/>
      <c r="G88" s="6" t="n"/>
      <c r="H88" s="6" t="n"/>
      <c r="I88" s="6" t="n"/>
      <c r="J88" s="6" t="n"/>
      <c r="K88" s="6" t="n"/>
      <c r="L88" s="6" t="n"/>
    </row>
    <row r="89">
      <c r="A89" s="6" t="n"/>
      <c r="B89" s="5" t="n"/>
      <c r="C89" s="6" t="n"/>
      <c r="D89" s="6" t="n"/>
      <c r="E89" s="6" t="n"/>
      <c r="F89" s="6" t="n"/>
      <c r="G89" s="6" t="n"/>
      <c r="H89" s="6" t="n"/>
      <c r="I89" s="6" t="n"/>
      <c r="J89" s="6" t="n"/>
      <c r="K89" s="6" t="n"/>
      <c r="L89" s="6" t="n"/>
    </row>
    <row r="90">
      <c r="A90" s="6" t="n"/>
      <c r="B90" s="5" t="n"/>
      <c r="C90" s="6" t="n"/>
      <c r="D90" s="6" t="n"/>
      <c r="E90" s="6" t="n"/>
      <c r="F90" s="6" t="n"/>
      <c r="G90" s="6" t="n"/>
      <c r="H90" s="6" t="n"/>
      <c r="I90" s="6" t="n"/>
      <c r="J90" s="6" t="n"/>
      <c r="K90" s="6" t="n"/>
      <c r="L90" s="6" t="n"/>
    </row>
    <row r="91">
      <c r="A91" s="6" t="n"/>
      <c r="B91" s="5" t="n"/>
      <c r="C91" s="6" t="n"/>
      <c r="D91" s="6" t="n"/>
      <c r="E91" s="6" t="n"/>
      <c r="F91" s="6" t="n"/>
      <c r="G91" s="6" t="n"/>
      <c r="H91" s="6" t="n"/>
      <c r="I91" s="6" t="n"/>
      <c r="J91" s="6" t="n"/>
      <c r="K91" s="6" t="n"/>
      <c r="L91" s="6" t="n"/>
    </row>
    <row r="92">
      <c r="A92" s="6" t="n"/>
      <c r="B92" s="5" t="n"/>
      <c r="C92" s="6" t="n"/>
      <c r="D92" s="6" t="n"/>
      <c r="E92" s="6" t="n"/>
      <c r="F92" s="6" t="n"/>
      <c r="G92" s="6" t="n"/>
      <c r="H92" s="6" t="n"/>
      <c r="I92" s="6" t="n"/>
      <c r="J92" s="6" t="n"/>
      <c r="K92" s="6" t="n"/>
      <c r="L92" s="6" t="n"/>
    </row>
    <row r="93">
      <c r="A93" s="6" t="n"/>
      <c r="B93" s="5" t="n"/>
      <c r="C93" s="6" t="n"/>
      <c r="D93" s="6" t="n"/>
      <c r="E93" s="6" t="n"/>
      <c r="F93" s="6" t="n"/>
      <c r="G93" s="6" t="n"/>
      <c r="H93" s="6" t="n"/>
      <c r="I93" s="6" t="n"/>
      <c r="J93" s="6" t="n"/>
      <c r="K93" s="6" t="n"/>
      <c r="L93" s="6" t="n"/>
    </row>
    <row r="94">
      <c r="A94" s="6" t="n"/>
      <c r="B94" s="5" t="n"/>
      <c r="C94" s="6" t="n"/>
      <c r="D94" s="6" t="n"/>
      <c r="E94" s="6" t="n"/>
      <c r="F94" s="6" t="n"/>
      <c r="G94" s="6" t="n"/>
      <c r="H94" s="6" t="n"/>
      <c r="I94" s="6" t="n"/>
      <c r="J94" s="6" t="n"/>
      <c r="K94" s="6" t="n"/>
      <c r="L94" s="6" t="n"/>
    </row>
    <row r="95">
      <c r="A95" s="6" t="n"/>
      <c r="B95" s="5" t="n"/>
      <c r="C95" s="6" t="n"/>
      <c r="D95" s="6" t="n"/>
      <c r="E95" s="6" t="n"/>
      <c r="F95" s="6" t="n"/>
      <c r="G95" s="6" t="n"/>
      <c r="H95" s="6" t="n"/>
      <c r="I95" s="6" t="n"/>
      <c r="J95" s="6" t="n"/>
      <c r="K95" s="6" t="n"/>
      <c r="L95" s="6" t="n"/>
    </row>
    <row r="96">
      <c r="A96" s="6" t="n"/>
      <c r="B96" s="5" t="n"/>
      <c r="C96" s="6" t="n"/>
      <c r="D96" s="6" t="n"/>
      <c r="E96" s="6" t="n"/>
      <c r="F96" s="6" t="n"/>
      <c r="G96" s="6" t="n"/>
      <c r="H96" s="6" t="n"/>
      <c r="I96" s="6" t="n"/>
      <c r="J96" s="6" t="n"/>
      <c r="K96" s="6" t="n"/>
      <c r="L96" s="6" t="n"/>
    </row>
    <row r="97">
      <c r="A97" s="6" t="n"/>
      <c r="B97" s="5" t="n"/>
      <c r="C97" s="6" t="n"/>
      <c r="D97" s="6" t="n"/>
      <c r="E97" s="6" t="n"/>
      <c r="F97" s="6" t="n"/>
      <c r="G97" s="6" t="n"/>
      <c r="H97" s="6" t="n"/>
      <c r="I97" s="6" t="n"/>
      <c r="J97" s="6" t="n"/>
      <c r="K97" s="6" t="n"/>
      <c r="L97" s="6" t="n"/>
    </row>
    <row r="98">
      <c r="A98" s="6" t="n"/>
      <c r="B98" s="5" t="n"/>
      <c r="C98" s="6" t="n"/>
      <c r="D98" s="6" t="n"/>
      <c r="E98" s="6" t="n"/>
      <c r="F98" s="6" t="n"/>
      <c r="G98" s="6" t="n"/>
      <c r="H98" s="6" t="n"/>
      <c r="I98" s="6" t="n"/>
      <c r="J98" s="6" t="n"/>
      <c r="K98" s="6" t="n"/>
      <c r="L98" s="6" t="n"/>
    </row>
    <row r="99">
      <c r="A99" s="6" t="n"/>
      <c r="B99" s="5" t="n"/>
      <c r="C99" s="6" t="n"/>
      <c r="D99" s="6" t="n"/>
      <c r="E99" s="6" t="n"/>
      <c r="F99" s="6" t="n"/>
      <c r="G99" s="6" t="n"/>
      <c r="H99" s="6" t="n"/>
      <c r="I99" s="6" t="n"/>
      <c r="J99" s="6" t="n"/>
      <c r="K99" s="6" t="n"/>
      <c r="L99" s="6" t="n"/>
    </row>
    <row r="100">
      <c r="A100" s="6" t="n"/>
      <c r="B100" s="5" t="n"/>
      <c r="C100" s="6" t="n"/>
      <c r="D100" s="6" t="n"/>
      <c r="E100" s="6" t="n"/>
      <c r="F100" s="6" t="n"/>
      <c r="G100" s="6" t="n"/>
      <c r="H100" s="6" t="n"/>
      <c r="I100" s="6" t="n"/>
      <c r="J100" s="6" t="n"/>
      <c r="K100" s="6" t="n"/>
      <c r="L100" s="6" t="n"/>
    </row>
    <row r="101">
      <c r="A101" s="6" t="n"/>
      <c r="B101" s="5" t="n"/>
      <c r="C101" s="6" t="n"/>
      <c r="D101" s="6" t="n"/>
      <c r="E101" s="6" t="n"/>
      <c r="F101" s="6" t="n"/>
      <c r="G101" s="6" t="n"/>
      <c r="H101" s="6" t="n"/>
      <c r="I101" s="6" t="n"/>
      <c r="J101" s="6" t="n"/>
      <c r="K101" s="6" t="n"/>
      <c r="L101" s="6" t="n"/>
    </row>
    <row r="102">
      <c r="A102" s="6" t="n"/>
      <c r="B102" s="5" t="n"/>
      <c r="C102" s="6" t="n"/>
      <c r="D102" s="6" t="n"/>
      <c r="E102" s="6" t="n"/>
      <c r="F102" s="6" t="n"/>
      <c r="G102" s="6" t="n"/>
      <c r="H102" s="6" t="n"/>
      <c r="I102" s="6" t="n"/>
      <c r="J102" s="6" t="n"/>
      <c r="K102" s="6" t="n"/>
      <c r="L102" s="6" t="n"/>
    </row>
    <row r="103">
      <c r="A103" s="6" t="n"/>
      <c r="B103" s="5" t="n"/>
      <c r="C103" s="6" t="n"/>
      <c r="D103" s="6" t="n"/>
      <c r="E103" s="6" t="n"/>
      <c r="F103" s="6" t="n"/>
      <c r="G103" s="6" t="n"/>
      <c r="H103" s="6" t="n"/>
      <c r="I103" s="6" t="n"/>
      <c r="J103" s="6" t="n"/>
      <c r="K103" s="6" t="n"/>
      <c r="L103" s="6" t="n"/>
    </row>
    <row r="104">
      <c r="A104" s="6" t="n"/>
      <c r="B104" s="5" t="n"/>
      <c r="C104" s="6" t="n"/>
      <c r="D104" s="6" t="n"/>
      <c r="E104" s="6" t="n"/>
      <c r="F104" s="6" t="n"/>
      <c r="G104" s="6" t="n"/>
      <c r="H104" s="6" t="n"/>
      <c r="I104" s="6" t="n"/>
      <c r="J104" s="6" t="n"/>
      <c r="K104" s="6" t="n"/>
      <c r="L104" s="6" t="n"/>
    </row>
    <row r="105">
      <c r="A105" s="6" t="n"/>
      <c r="B105" s="5" t="n"/>
      <c r="C105" s="6" t="n"/>
      <c r="D105" s="6" t="n"/>
      <c r="E105" s="6" t="n"/>
      <c r="F105" s="6" t="n"/>
      <c r="G105" s="6" t="n"/>
      <c r="H105" s="6" t="n"/>
      <c r="I105" s="6" t="n"/>
      <c r="J105" s="6" t="n"/>
      <c r="K105" s="6" t="n"/>
      <c r="L105" s="6" t="n"/>
    </row>
    <row r="106">
      <c r="A106" s="6" t="n"/>
      <c r="B106" s="5" t="n"/>
      <c r="C106" s="6" t="n"/>
      <c r="D106" s="6" t="n"/>
      <c r="E106" s="6" t="n"/>
      <c r="F106" s="6" t="n"/>
      <c r="G106" s="6" t="n"/>
      <c r="H106" s="6" t="n"/>
      <c r="I106" s="6" t="n"/>
      <c r="J106" s="6" t="n"/>
      <c r="K106" s="6" t="n"/>
      <c r="L106" s="6" t="n"/>
    </row>
    <row r="107">
      <c r="A107" s="6" t="n"/>
      <c r="B107" s="5" t="n"/>
      <c r="C107" s="6" t="n"/>
      <c r="D107" s="6" t="n"/>
      <c r="E107" s="6" t="n"/>
      <c r="F107" s="6" t="n"/>
      <c r="G107" s="6" t="n"/>
      <c r="H107" s="6" t="n"/>
      <c r="I107" s="6" t="n"/>
      <c r="J107" s="6" t="n"/>
      <c r="K107" s="6" t="n"/>
      <c r="L107" s="6" t="n"/>
    </row>
    <row r="108">
      <c r="A108" s="6" t="n"/>
      <c r="B108" s="5" t="n"/>
      <c r="C108" s="6" t="n"/>
      <c r="D108" s="6" t="n"/>
      <c r="E108" s="6" t="n"/>
      <c r="F108" s="6" t="n"/>
      <c r="G108" s="6" t="n"/>
      <c r="H108" s="6" t="n"/>
      <c r="I108" s="6" t="n"/>
      <c r="J108" s="6" t="n"/>
      <c r="K108" s="6" t="n"/>
      <c r="L108" s="6" t="n"/>
    </row>
    <row r="109">
      <c r="A109" s="6" t="n"/>
      <c r="B109" s="5" t="n"/>
      <c r="C109" s="6" t="n"/>
      <c r="D109" s="6" t="n"/>
      <c r="E109" s="6" t="n"/>
      <c r="F109" s="6" t="n"/>
      <c r="G109" s="6" t="n"/>
      <c r="H109" s="6" t="n"/>
      <c r="I109" s="6" t="n"/>
      <c r="J109" s="6" t="n"/>
      <c r="K109" s="6" t="n"/>
      <c r="L109" s="6" t="n"/>
    </row>
    <row r="110">
      <c r="A110" s="6" t="n"/>
      <c r="B110" s="5" t="n"/>
      <c r="C110" s="6" t="n"/>
      <c r="D110" s="6" t="n"/>
      <c r="E110" s="6" t="n"/>
      <c r="F110" s="6" t="n"/>
      <c r="G110" s="6" t="n"/>
      <c r="H110" s="6" t="n"/>
      <c r="I110" s="6" t="n"/>
      <c r="J110" s="6" t="n"/>
      <c r="K110" s="6" t="n"/>
      <c r="L110" s="6" t="n"/>
    </row>
    <row r="111">
      <c r="A111" s="6" t="n"/>
      <c r="B111" s="5" t="n"/>
      <c r="C111" s="6" t="n"/>
      <c r="D111" s="6" t="n"/>
      <c r="E111" s="6" t="n"/>
      <c r="F111" s="6" t="n"/>
      <c r="G111" s="6" t="n"/>
      <c r="H111" s="6" t="n"/>
      <c r="I111" s="6" t="n"/>
      <c r="J111" s="6" t="n"/>
      <c r="K111" s="6" t="n"/>
      <c r="L111" s="6" t="n"/>
    </row>
    <row r="112">
      <c r="A112" s="6" t="n"/>
      <c r="B112" s="5" t="n"/>
      <c r="C112" s="6" t="n"/>
      <c r="D112" s="6" t="n"/>
      <c r="E112" s="6" t="n"/>
      <c r="F112" s="6" t="n"/>
      <c r="G112" s="6" t="n"/>
      <c r="H112" s="6" t="n"/>
      <c r="I112" s="6" t="n"/>
      <c r="J112" s="6" t="n"/>
      <c r="K112" s="6" t="n"/>
      <c r="L112" s="6" t="n"/>
    </row>
    <row r="113">
      <c r="A113" s="6" t="n"/>
      <c r="B113" s="5" t="n"/>
      <c r="C113" s="6" t="n"/>
      <c r="D113" s="6" t="n"/>
      <c r="E113" s="6" t="n"/>
      <c r="F113" s="6" t="n"/>
      <c r="G113" s="6" t="n"/>
      <c r="H113" s="6" t="n"/>
      <c r="I113" s="6" t="n"/>
      <c r="J113" s="6" t="n"/>
      <c r="K113" s="6" t="n"/>
      <c r="L113" s="6" t="n"/>
    </row>
    <row r="114">
      <c r="A114" s="6" t="n"/>
      <c r="B114" s="5" t="n"/>
      <c r="C114" s="6" t="n"/>
      <c r="D114" s="6" t="n"/>
      <c r="E114" s="6" t="n"/>
      <c r="F114" s="6" t="n"/>
      <c r="G114" s="6" t="n"/>
      <c r="H114" s="6" t="n"/>
      <c r="I114" s="6" t="n"/>
      <c r="J114" s="6" t="n"/>
      <c r="K114" s="6" t="n"/>
      <c r="L114" s="6" t="n"/>
    </row>
    <row r="115">
      <c r="A115" s="6" t="n"/>
      <c r="B115" s="5" t="n"/>
      <c r="C115" s="6" t="n"/>
      <c r="D115" s="6" t="n"/>
      <c r="E115" s="6" t="n"/>
      <c r="F115" s="6" t="n"/>
      <c r="G115" s="6" t="n"/>
      <c r="H115" s="6" t="n"/>
      <c r="I115" s="6" t="n"/>
      <c r="J115" s="6" t="n"/>
      <c r="K115" s="6" t="n"/>
      <c r="L115" s="6" t="n"/>
    </row>
    <row r="116">
      <c r="A116" s="6" t="n"/>
      <c r="B116" s="5" t="n"/>
      <c r="C116" s="6" t="n"/>
      <c r="D116" s="6" t="n"/>
      <c r="E116" s="6" t="n"/>
      <c r="F116" s="6" t="n"/>
      <c r="G116" s="6" t="n"/>
      <c r="H116" s="6" t="n"/>
      <c r="I116" s="6" t="n"/>
      <c r="J116" s="6" t="n"/>
      <c r="K116" s="6" t="n"/>
      <c r="L116" s="6" t="n"/>
    </row>
    <row r="117">
      <c r="A117" s="6" t="n"/>
      <c r="B117" s="5" t="n"/>
      <c r="C117" s="6" t="n"/>
      <c r="D117" s="6" t="n"/>
      <c r="E117" s="6" t="n"/>
      <c r="F117" s="6" t="n"/>
      <c r="G117" s="6" t="n"/>
      <c r="H117" s="6" t="n"/>
      <c r="I117" s="6" t="n"/>
      <c r="J117" s="6" t="n"/>
      <c r="K117" s="6" t="n"/>
      <c r="L117" s="6" t="n"/>
    </row>
    <row r="118">
      <c r="A118" s="6" t="n"/>
      <c r="B118" s="5" t="n"/>
      <c r="C118" s="6" t="n"/>
      <c r="D118" s="6" t="n"/>
      <c r="E118" s="6" t="n"/>
      <c r="F118" s="6" t="n"/>
      <c r="G118" s="6" t="n"/>
      <c r="H118" s="6" t="n"/>
      <c r="I118" s="6" t="n"/>
      <c r="J118" s="6" t="n"/>
      <c r="K118" s="6" t="n"/>
      <c r="L118" s="6" t="n"/>
    </row>
    <row r="119">
      <c r="A119" s="6" t="n"/>
      <c r="B119" s="5" t="n"/>
      <c r="C119" s="6" t="n"/>
      <c r="D119" s="6" t="n"/>
      <c r="E119" s="6" t="n"/>
      <c r="F119" s="6" t="n"/>
      <c r="G119" s="6" t="n"/>
      <c r="H119" s="6" t="n"/>
      <c r="I119" s="6" t="n"/>
      <c r="J119" s="6" t="n"/>
      <c r="K119" s="6" t="n"/>
      <c r="L119" s="6" t="n"/>
    </row>
    <row r="120">
      <c r="A120" s="6" t="n"/>
      <c r="B120" s="5" t="n"/>
      <c r="C120" s="6" t="n"/>
      <c r="D120" s="6" t="n"/>
      <c r="E120" s="6" t="n"/>
      <c r="F120" s="6" t="n"/>
      <c r="G120" s="6" t="n"/>
      <c r="H120" s="6" t="n"/>
      <c r="I120" s="6" t="n"/>
      <c r="J120" s="6" t="n"/>
      <c r="K120" s="6" t="n"/>
      <c r="L120" s="6" t="n"/>
    </row>
    <row r="121">
      <c r="A121" s="6" t="n"/>
      <c r="B121" s="5" t="n"/>
      <c r="C121" s="6" t="n"/>
      <c r="D121" s="6" t="n"/>
      <c r="E121" s="6" t="n"/>
      <c r="F121" s="6" t="n"/>
      <c r="G121" s="6" t="n"/>
      <c r="H121" s="6" t="n"/>
      <c r="I121" s="6" t="n"/>
      <c r="J121" s="6" t="n"/>
      <c r="K121" s="6" t="n"/>
      <c r="L121" s="6" t="n"/>
    </row>
    <row r="122">
      <c r="A122" s="6" t="n"/>
      <c r="B122" s="5" t="n"/>
      <c r="C122" s="6" t="n"/>
      <c r="D122" s="6" t="n"/>
      <c r="E122" s="6" t="n"/>
      <c r="F122" s="6" t="n"/>
      <c r="G122" s="6" t="n"/>
      <c r="H122" s="6" t="n"/>
      <c r="I122" s="6" t="n"/>
      <c r="J122" s="6" t="n"/>
      <c r="K122" s="6" t="n"/>
      <c r="L122" s="6" t="n"/>
    </row>
    <row r="123">
      <c r="A123" s="6" t="n"/>
      <c r="B123" s="5" t="n"/>
      <c r="C123" s="6" t="n"/>
      <c r="D123" s="6" t="n"/>
      <c r="E123" s="6" t="n"/>
      <c r="F123" s="6" t="n"/>
      <c r="G123" s="6" t="n"/>
      <c r="H123" s="6" t="n"/>
      <c r="I123" s="6" t="n"/>
      <c r="J123" s="6" t="n"/>
      <c r="K123" s="6" t="n"/>
      <c r="L123" s="6" t="n"/>
    </row>
    <row r="124">
      <c r="A124" s="6" t="n"/>
      <c r="B124" s="5" t="n"/>
      <c r="C124" s="6" t="n"/>
      <c r="D124" s="6" t="n"/>
      <c r="E124" s="6" t="n"/>
      <c r="F124" s="6" t="n"/>
      <c r="G124" s="6" t="n"/>
      <c r="H124" s="6" t="n"/>
      <c r="I124" s="6" t="n"/>
      <c r="J124" s="6" t="n"/>
      <c r="K124" s="6" t="n"/>
      <c r="L124" s="6" t="n"/>
    </row>
    <row r="125">
      <c r="A125" s="6" t="n"/>
      <c r="B125" s="5" t="n"/>
      <c r="C125" s="6" t="n"/>
      <c r="D125" s="6" t="n"/>
      <c r="E125" s="6" t="n"/>
      <c r="F125" s="6" t="n"/>
      <c r="G125" s="6" t="n"/>
      <c r="H125" s="6" t="n"/>
      <c r="I125" s="6" t="n"/>
      <c r="J125" s="6" t="n"/>
      <c r="K125" s="6" t="n"/>
      <c r="L125" s="6" t="n"/>
    </row>
    <row r="126">
      <c r="A126" s="6" t="n"/>
      <c r="B126" s="5" t="n"/>
      <c r="C126" s="6" t="n"/>
      <c r="D126" s="6" t="n"/>
      <c r="E126" s="6" t="n"/>
      <c r="F126" s="6" t="n"/>
      <c r="G126" s="6" t="n"/>
      <c r="H126" s="6" t="n"/>
      <c r="I126" s="6" t="n"/>
      <c r="J126" s="6" t="n"/>
      <c r="K126" s="6" t="n"/>
      <c r="L126" s="6" t="n"/>
    </row>
    <row r="127">
      <c r="A127" s="6" t="n"/>
      <c r="B127" s="5" t="n"/>
      <c r="C127" s="6" t="n"/>
      <c r="D127" s="6" t="n"/>
      <c r="E127" s="6" t="n"/>
      <c r="F127" s="6" t="n"/>
      <c r="G127" s="6" t="n"/>
      <c r="H127" s="6" t="n"/>
      <c r="I127" s="6" t="n"/>
      <c r="J127" s="6" t="n"/>
      <c r="K127" s="6" t="n"/>
      <c r="L127" s="6" t="n"/>
    </row>
    <row r="128">
      <c r="A128" s="6" t="n"/>
      <c r="B128" s="5" t="n"/>
      <c r="C128" s="6" t="n"/>
      <c r="D128" s="6" t="n"/>
      <c r="E128" s="6" t="n"/>
      <c r="F128" s="6" t="n"/>
      <c r="G128" s="6" t="n"/>
      <c r="H128" s="6" t="n"/>
      <c r="I128" s="6" t="n"/>
      <c r="J128" s="6" t="n"/>
      <c r="K128" s="6" t="n"/>
      <c r="L128" s="6" t="n"/>
    </row>
    <row r="129">
      <c r="A129" s="6" t="n"/>
      <c r="B129" s="5" t="n"/>
      <c r="C129" s="6" t="n"/>
      <c r="D129" s="6" t="n"/>
      <c r="E129" s="6" t="n"/>
      <c r="F129" s="6" t="n"/>
      <c r="G129" s="6" t="n"/>
      <c r="H129" s="6" t="n"/>
      <c r="I129" s="6" t="n"/>
      <c r="J129" s="6" t="n"/>
      <c r="K129" s="6" t="n"/>
      <c r="L129" s="6" t="n"/>
    </row>
    <row r="130">
      <c r="A130" s="6" t="n"/>
      <c r="B130" s="5" t="n"/>
      <c r="C130" s="6" t="n"/>
      <c r="D130" s="6" t="n"/>
      <c r="E130" s="6" t="n"/>
      <c r="F130" s="6" t="n"/>
      <c r="G130" s="6" t="n"/>
      <c r="H130" s="6" t="n"/>
      <c r="I130" s="6" t="n"/>
      <c r="J130" s="6" t="n"/>
      <c r="K130" s="6" t="n"/>
      <c r="L130" s="6" t="n"/>
    </row>
    <row r="131">
      <c r="A131" s="6" t="n"/>
      <c r="B131" s="5" t="n"/>
      <c r="C131" s="6" t="n"/>
      <c r="D131" s="6" t="n"/>
      <c r="E131" s="6" t="n"/>
      <c r="F131" s="6" t="n"/>
      <c r="G131" s="6" t="n"/>
      <c r="H131" s="6" t="n"/>
      <c r="I131" s="6" t="n"/>
      <c r="J131" s="6" t="n"/>
      <c r="K131" s="6" t="n"/>
      <c r="L131" s="6" t="n"/>
    </row>
    <row r="132">
      <c r="A132" s="6" t="n"/>
      <c r="B132" s="5" t="n"/>
      <c r="C132" s="6" t="n"/>
      <c r="D132" s="6" t="n"/>
      <c r="E132" s="6" t="n"/>
      <c r="F132" s="6" t="n"/>
      <c r="G132" s="6" t="n"/>
      <c r="H132" s="6" t="n"/>
      <c r="I132" s="6" t="n"/>
      <c r="J132" s="6" t="n"/>
      <c r="K132" s="6" t="n"/>
      <c r="L132" s="6" t="n"/>
    </row>
    <row r="133">
      <c r="A133" s="6" t="n"/>
      <c r="B133" s="5" t="n"/>
      <c r="C133" s="6" t="n"/>
      <c r="D133" s="6" t="n"/>
      <c r="E133" s="6" t="n"/>
      <c r="F133" s="6" t="n"/>
      <c r="G133" s="6" t="n"/>
      <c r="H133" s="6" t="n"/>
      <c r="I133" s="6" t="n"/>
      <c r="J133" s="6" t="n"/>
      <c r="K133" s="6" t="n"/>
      <c r="L133" s="6" t="n"/>
    </row>
    <row r="134">
      <c r="A134" s="6" t="n"/>
      <c r="B134" s="5" t="n"/>
      <c r="C134" s="6" t="n"/>
      <c r="D134" s="6" t="n"/>
      <c r="E134" s="6" t="n"/>
      <c r="F134" s="6" t="n"/>
      <c r="G134" s="6" t="n"/>
      <c r="H134" s="6" t="n"/>
      <c r="I134" s="6" t="n"/>
      <c r="J134" s="6" t="n"/>
      <c r="K134" s="6" t="n"/>
      <c r="L134" s="6" t="n"/>
    </row>
    <row r="135">
      <c r="A135" s="6" t="n"/>
      <c r="B135" s="5" t="n"/>
      <c r="C135" s="6" t="n"/>
      <c r="D135" s="6" t="n"/>
      <c r="E135" s="6" t="n"/>
      <c r="F135" s="6" t="n"/>
      <c r="G135" s="6" t="n"/>
      <c r="H135" s="6" t="n"/>
      <c r="I135" s="6" t="n"/>
      <c r="J135" s="6" t="n"/>
      <c r="K135" s="6" t="n"/>
      <c r="L135" s="6" t="n"/>
    </row>
    <row r="136">
      <c r="A136" s="6" t="n"/>
      <c r="B136" s="5" t="n"/>
      <c r="C136" s="6" t="n"/>
      <c r="D136" s="6" t="n"/>
      <c r="E136" s="6" t="n"/>
      <c r="F136" s="6" t="n"/>
      <c r="G136" s="6" t="n"/>
      <c r="H136" s="6" t="n"/>
      <c r="I136" s="6" t="n"/>
      <c r="J136" s="6" t="n"/>
      <c r="K136" s="6" t="n"/>
      <c r="L136" s="6" t="n"/>
    </row>
    <row r="137">
      <c r="A137" s="6" t="n"/>
      <c r="B137" s="5" t="n"/>
      <c r="C137" s="6" t="n"/>
      <c r="D137" s="6" t="n"/>
      <c r="E137" s="6" t="n"/>
      <c r="F137" s="6" t="n"/>
      <c r="G137" s="6" t="n"/>
      <c r="H137" s="6" t="n"/>
      <c r="I137" s="6" t="n"/>
      <c r="J137" s="6" t="n"/>
      <c r="K137" s="6" t="n"/>
      <c r="L137" s="6" t="n"/>
    </row>
    <row r="138">
      <c r="A138" s="6" t="n"/>
      <c r="B138" s="5" t="n"/>
      <c r="C138" s="6" t="n"/>
      <c r="D138" s="6" t="n"/>
      <c r="E138" s="6" t="n"/>
      <c r="F138" s="6" t="n"/>
      <c r="G138" s="6" t="n"/>
      <c r="H138" s="6" t="n"/>
      <c r="I138" s="6" t="n"/>
      <c r="J138" s="6" t="n"/>
      <c r="K138" s="6" t="n"/>
      <c r="L138" s="6" t="n"/>
    </row>
    <row r="139">
      <c r="A139" s="6" t="n"/>
      <c r="B139" s="5" t="n"/>
      <c r="C139" s="6" t="n"/>
      <c r="D139" s="6" t="n"/>
      <c r="E139" s="6" t="n"/>
      <c r="F139" s="6" t="n"/>
      <c r="G139" s="6" t="n"/>
      <c r="H139" s="6" t="n"/>
      <c r="I139" s="6" t="n"/>
      <c r="J139" s="6" t="n"/>
      <c r="K139" s="6" t="n"/>
      <c r="L139" s="6" t="n"/>
    </row>
    <row r="140">
      <c r="A140" s="6" t="n"/>
      <c r="B140" s="5" t="n"/>
      <c r="C140" s="6" t="n"/>
      <c r="D140" s="6" t="n"/>
      <c r="E140" s="6" t="n"/>
      <c r="F140" s="6" t="n"/>
      <c r="G140" s="6" t="n"/>
      <c r="H140" s="6" t="n"/>
      <c r="I140" s="6" t="n"/>
      <c r="J140" s="6" t="n"/>
      <c r="K140" s="6" t="n"/>
      <c r="L140" s="6" t="n"/>
    </row>
    <row r="141">
      <c r="A141" s="6" t="n"/>
      <c r="B141" s="5" t="n"/>
      <c r="C141" s="6" t="n"/>
      <c r="D141" s="6" t="n"/>
      <c r="E141" s="6" t="n"/>
      <c r="F141" s="6" t="n"/>
      <c r="G141" s="6" t="n"/>
      <c r="H141" s="6" t="n"/>
      <c r="I141" s="6" t="n"/>
      <c r="J141" s="6" t="n"/>
      <c r="K141" s="6" t="n"/>
      <c r="L141" s="6" t="n"/>
    </row>
    <row r="142">
      <c r="A142" s="6" t="n"/>
      <c r="B142" s="5" t="n"/>
      <c r="C142" s="6" t="n"/>
      <c r="D142" s="6" t="n"/>
      <c r="E142" s="6" t="n"/>
      <c r="F142" s="6" t="n"/>
      <c r="G142" s="6" t="n"/>
      <c r="H142" s="6" t="n"/>
      <c r="I142" s="6" t="n"/>
      <c r="J142" s="6" t="n"/>
      <c r="K142" s="6" t="n"/>
      <c r="L142" s="6" t="n"/>
    </row>
    <row r="143">
      <c r="A143" s="6" t="n"/>
      <c r="B143" s="5" t="n"/>
      <c r="C143" s="6" t="n"/>
      <c r="D143" s="6" t="n"/>
      <c r="E143" s="6" t="n"/>
      <c r="F143" s="6" t="n"/>
      <c r="G143" s="6" t="n"/>
      <c r="H143" s="6" t="n"/>
      <c r="I143" s="6" t="n"/>
      <c r="J143" s="6" t="n"/>
      <c r="K143" s="6" t="n"/>
      <c r="L143" s="6" t="n"/>
    </row>
    <row r="144">
      <c r="A144" s="6" t="n"/>
      <c r="B144" s="5" t="n"/>
      <c r="C144" s="6" t="n"/>
      <c r="D144" s="6" t="n"/>
      <c r="E144" s="6" t="n"/>
      <c r="F144" s="6" t="n"/>
      <c r="G144" s="6" t="n"/>
      <c r="H144" s="6" t="n"/>
      <c r="I144" s="6" t="n"/>
      <c r="J144" s="6" t="n"/>
      <c r="K144" s="6" t="n"/>
      <c r="L144" s="6" t="n"/>
    </row>
    <row r="145">
      <c r="A145" s="6" t="n"/>
      <c r="B145" s="5" t="n"/>
      <c r="C145" s="6" t="n"/>
      <c r="D145" s="6" t="n"/>
      <c r="E145" s="6" t="n"/>
      <c r="F145" s="6" t="n"/>
      <c r="G145" s="6" t="n"/>
      <c r="H145" s="6" t="n"/>
      <c r="I145" s="6" t="n"/>
      <c r="J145" s="6" t="n"/>
      <c r="K145" s="6" t="n"/>
      <c r="L145" s="6" t="n"/>
    </row>
    <row r="146">
      <c r="A146" s="6" t="n"/>
      <c r="B146" s="5" t="n"/>
      <c r="C146" s="6" t="n"/>
      <c r="D146" s="6" t="n"/>
      <c r="E146" s="6" t="n"/>
      <c r="F146" s="6" t="n"/>
      <c r="G146" s="6" t="n"/>
      <c r="H146" s="6" t="n"/>
      <c r="I146" s="6" t="n"/>
      <c r="J146" s="6" t="n"/>
      <c r="K146" s="6" t="n"/>
      <c r="L146" s="6" t="n"/>
    </row>
    <row r="147">
      <c r="A147" s="6" t="n"/>
      <c r="B147" s="5" t="n"/>
      <c r="C147" s="6" t="n"/>
      <c r="D147" s="6" t="n"/>
      <c r="E147" s="6" t="n"/>
      <c r="F147" s="6" t="n"/>
      <c r="G147" s="6" t="n"/>
      <c r="H147" s="6" t="n"/>
      <c r="I147" s="6" t="n"/>
      <c r="J147" s="6" t="n"/>
      <c r="K147" s="6" t="n"/>
      <c r="L147" s="6" t="n"/>
    </row>
    <row r="148">
      <c r="A148" s="6" t="n"/>
      <c r="B148" s="5" t="n"/>
      <c r="C148" s="6" t="n"/>
      <c r="D148" s="6" t="n"/>
      <c r="E148" s="6" t="n"/>
      <c r="F148" s="6" t="n"/>
      <c r="G148" s="6" t="n"/>
      <c r="H148" s="6" t="n"/>
      <c r="I148" s="6" t="n"/>
      <c r="J148" s="6" t="n"/>
      <c r="K148" s="6" t="n"/>
      <c r="L148" s="6" t="n"/>
    </row>
    <row r="149">
      <c r="A149" s="6" t="n"/>
      <c r="B149" s="5" t="n"/>
      <c r="C149" s="6" t="n"/>
      <c r="D149" s="6" t="n"/>
      <c r="E149" s="6" t="n"/>
      <c r="F149" s="6" t="n"/>
      <c r="G149" s="6" t="n"/>
      <c r="H149" s="6" t="n"/>
      <c r="I149" s="6" t="n"/>
      <c r="J149" s="6" t="n"/>
      <c r="K149" s="6" t="n"/>
      <c r="L149" s="6" t="n"/>
    </row>
    <row r="150">
      <c r="A150" s="6" t="n"/>
      <c r="B150" s="5" t="n"/>
      <c r="C150" s="6" t="n"/>
      <c r="D150" s="6" t="n"/>
      <c r="E150" s="6" t="n"/>
      <c r="F150" s="6" t="n"/>
      <c r="G150" s="6" t="n"/>
      <c r="H150" s="6" t="n"/>
      <c r="I150" s="6" t="n"/>
      <c r="J150" s="6" t="n"/>
      <c r="K150" s="6" t="n"/>
      <c r="L150" s="6" t="n"/>
    </row>
    <row r="151">
      <c r="A151" s="6" t="n"/>
      <c r="B151" s="5" t="n"/>
      <c r="C151" s="6" t="n"/>
      <c r="D151" s="6" t="n"/>
      <c r="E151" s="6" t="n"/>
      <c r="F151" s="6" t="n"/>
      <c r="G151" s="6" t="n"/>
      <c r="H151" s="6" t="n"/>
      <c r="I151" s="6" t="n"/>
      <c r="J151" s="6" t="n"/>
      <c r="K151" s="6" t="n"/>
      <c r="L151" s="6" t="n"/>
    </row>
    <row r="152">
      <c r="A152" s="6" t="n"/>
      <c r="B152" s="5" t="n"/>
      <c r="C152" s="6" t="n"/>
      <c r="D152" s="6" t="n"/>
      <c r="E152" s="6" t="n"/>
      <c r="F152" s="6" t="n"/>
      <c r="G152" s="6" t="n"/>
      <c r="H152" s="6" t="n"/>
      <c r="I152" s="6" t="n"/>
      <c r="J152" s="6" t="n"/>
      <c r="K152" s="6" t="n"/>
      <c r="L152" s="6" t="n"/>
    </row>
    <row r="153">
      <c r="A153" s="6" t="n"/>
      <c r="B153" s="5" t="n"/>
      <c r="C153" s="6" t="n"/>
      <c r="D153" s="6" t="n"/>
      <c r="E153" s="6" t="n"/>
      <c r="F153" s="6" t="n"/>
      <c r="G153" s="6" t="n"/>
      <c r="H153" s="6" t="n"/>
      <c r="I153" s="6" t="n"/>
      <c r="J153" s="6" t="n"/>
      <c r="K153" s="6" t="n"/>
      <c r="L153" s="6" t="n"/>
    </row>
    <row r="154">
      <c r="A154" s="6" t="n"/>
      <c r="B154" s="5" t="n"/>
      <c r="C154" s="6" t="n"/>
      <c r="D154" s="6" t="n"/>
      <c r="E154" s="6" t="n"/>
      <c r="F154" s="6" t="n"/>
      <c r="G154" s="6" t="n"/>
      <c r="H154" s="6" t="n"/>
      <c r="I154" s="6" t="n"/>
      <c r="J154" s="6" t="n"/>
      <c r="K154" s="6" t="n"/>
      <c r="L154" s="6" t="n"/>
    </row>
    <row r="155">
      <c r="A155" s="6" t="n"/>
      <c r="B155" s="5" t="n"/>
      <c r="C155" s="6" t="n"/>
      <c r="D155" s="6" t="n"/>
      <c r="E155" s="6" t="n"/>
      <c r="F155" s="6" t="n"/>
      <c r="G155" s="6" t="n"/>
      <c r="H155" s="6" t="n"/>
      <c r="I155" s="6" t="n"/>
      <c r="J155" s="6" t="n"/>
      <c r="K155" s="6" t="n"/>
      <c r="L155" s="6" t="n"/>
    </row>
    <row r="156">
      <c r="A156" s="6" t="n"/>
      <c r="B156" s="5" t="n"/>
      <c r="C156" s="6" t="n"/>
      <c r="D156" s="6" t="n"/>
      <c r="E156" s="6" t="n"/>
      <c r="F156" s="6" t="n"/>
      <c r="G156" s="6" t="n"/>
      <c r="H156" s="6" t="n"/>
      <c r="I156" s="6" t="n"/>
      <c r="J156" s="6" t="n"/>
      <c r="K156" s="6" t="n"/>
      <c r="L156" s="6" t="n"/>
    </row>
    <row r="157">
      <c r="A157" s="6" t="n"/>
      <c r="B157" s="5" t="n"/>
      <c r="C157" s="6" t="n"/>
      <c r="D157" s="6" t="n"/>
      <c r="E157" s="6" t="n"/>
      <c r="F157" s="6" t="n"/>
      <c r="G157" s="6" t="n"/>
      <c r="H157" s="6" t="n"/>
      <c r="I157" s="6" t="n"/>
      <c r="J157" s="6" t="n"/>
      <c r="K157" s="6" t="n"/>
      <c r="L157" s="6" t="n"/>
    </row>
    <row r="158">
      <c r="A158" s="6" t="n"/>
      <c r="B158" s="5" t="n"/>
      <c r="C158" s="6" t="n"/>
      <c r="D158" s="6" t="n"/>
      <c r="E158" s="6" t="n"/>
      <c r="F158" s="6" t="n"/>
      <c r="G158" s="6" t="n"/>
      <c r="H158" s="6" t="n"/>
      <c r="I158" s="6" t="n"/>
      <c r="J158" s="6" t="n"/>
      <c r="K158" s="6" t="n"/>
      <c r="L158" s="6" t="n"/>
    </row>
    <row r="159">
      <c r="A159" s="6" t="n"/>
      <c r="B159" s="5" t="n"/>
      <c r="C159" s="6" t="n"/>
      <c r="D159" s="6" t="n"/>
      <c r="E159" s="6" t="n"/>
      <c r="F159" s="6" t="n"/>
      <c r="G159" s="6" t="n"/>
      <c r="H159" s="6" t="n"/>
      <c r="I159" s="6" t="n"/>
      <c r="J159" s="6" t="n"/>
      <c r="K159" s="6" t="n"/>
      <c r="L159" s="6" t="n"/>
    </row>
    <row r="160">
      <c r="A160" s="6" t="n"/>
      <c r="B160" s="5" t="n"/>
      <c r="C160" s="6" t="n"/>
      <c r="D160" s="6" t="n"/>
      <c r="E160" s="6" t="n"/>
      <c r="F160" s="6" t="n"/>
      <c r="G160" s="6" t="n"/>
      <c r="H160" s="6" t="n"/>
      <c r="I160" s="6" t="n"/>
      <c r="J160" s="6" t="n"/>
      <c r="K160" s="6" t="n"/>
      <c r="L160" s="6" t="n"/>
    </row>
    <row r="161">
      <c r="A161" s="6" t="n"/>
      <c r="B161" s="5" t="n"/>
      <c r="C161" s="6" t="n"/>
      <c r="D161" s="6" t="n"/>
      <c r="E161" s="6" t="n"/>
      <c r="F161" s="6" t="n"/>
      <c r="G161" s="6" t="n"/>
      <c r="H161" s="6" t="n"/>
      <c r="I161" s="6" t="n"/>
      <c r="J161" s="6" t="n"/>
      <c r="K161" s="6" t="n"/>
      <c r="L161" s="6" t="n"/>
    </row>
    <row r="162">
      <c r="A162" s="6" t="n"/>
      <c r="B162" s="5" t="n"/>
      <c r="C162" s="6" t="n"/>
      <c r="D162" s="6" t="n"/>
      <c r="E162" s="6" t="n"/>
      <c r="F162" s="6" t="n"/>
      <c r="G162" s="6" t="n"/>
      <c r="H162" s="6" t="n"/>
      <c r="I162" s="6" t="n"/>
      <c r="J162" s="6" t="n"/>
      <c r="K162" s="6" t="n"/>
      <c r="L162" s="6" t="n"/>
    </row>
    <row r="163">
      <c r="A163" s="6" t="n"/>
      <c r="B163" s="5" t="n"/>
      <c r="C163" s="6" t="n"/>
      <c r="D163" s="6" t="n"/>
      <c r="E163" s="6" t="n"/>
      <c r="F163" s="6" t="n"/>
      <c r="G163" s="6" t="n"/>
      <c r="H163" s="6" t="n"/>
      <c r="I163" s="6" t="n"/>
      <c r="J163" s="6" t="n"/>
      <c r="K163" s="6" t="n"/>
      <c r="L163" s="6" t="n"/>
    </row>
    <row r="164">
      <c r="A164" s="6" t="n"/>
      <c r="B164" s="5" t="n"/>
      <c r="C164" s="6" t="n"/>
      <c r="D164" s="6" t="n"/>
      <c r="E164" s="6" t="n"/>
      <c r="F164" s="6" t="n"/>
      <c r="G164" s="6" t="n"/>
      <c r="H164" s="6" t="n"/>
      <c r="I164" s="6" t="n"/>
      <c r="J164" s="6" t="n"/>
      <c r="K164" s="6" t="n"/>
      <c r="L164" s="6" t="n"/>
    </row>
    <row r="165">
      <c r="A165" s="6" t="n"/>
      <c r="B165" s="5" t="n"/>
      <c r="C165" s="6" t="n"/>
      <c r="D165" s="6" t="n"/>
      <c r="E165" s="6" t="n"/>
      <c r="F165" s="6" t="n"/>
      <c r="G165" s="6" t="n"/>
      <c r="H165" s="6" t="n"/>
      <c r="I165" s="6" t="n"/>
      <c r="J165" s="6" t="n"/>
      <c r="K165" s="6" t="n"/>
      <c r="L165" s="6" t="n"/>
    </row>
    <row r="166">
      <c r="A166" s="6" t="n"/>
      <c r="B166" s="5" t="n"/>
      <c r="C166" s="6" t="n"/>
      <c r="D166" s="6" t="n"/>
      <c r="E166" s="6" t="n"/>
      <c r="F166" s="6" t="n"/>
      <c r="G166" s="6" t="n"/>
      <c r="H166" s="6" t="n"/>
      <c r="I166" s="6" t="n"/>
      <c r="J166" s="6" t="n"/>
      <c r="K166" s="6" t="n"/>
      <c r="L166" s="6" t="n"/>
    </row>
    <row r="167">
      <c r="A167" s="6" t="n"/>
      <c r="B167" s="5" t="n"/>
      <c r="C167" s="6" t="n"/>
      <c r="D167" s="6" t="n"/>
      <c r="E167" s="6" t="n"/>
      <c r="F167" s="6" t="n"/>
      <c r="G167" s="6" t="n"/>
      <c r="H167" s="6" t="n"/>
      <c r="I167" s="6" t="n"/>
      <c r="J167" s="6" t="n"/>
      <c r="K167" s="6" t="n"/>
      <c r="L167" s="6" t="n"/>
    </row>
    <row r="168">
      <c r="A168" s="6" t="n"/>
      <c r="B168" s="5" t="n"/>
      <c r="C168" s="6" t="n"/>
      <c r="D168" s="6" t="n"/>
      <c r="E168" s="6" t="n"/>
      <c r="F168" s="6" t="n"/>
      <c r="G168" s="6" t="n"/>
      <c r="H168" s="6" t="n"/>
      <c r="I168" s="6" t="n"/>
      <c r="J168" s="6" t="n"/>
      <c r="K168" s="6" t="n"/>
      <c r="L168" s="6" t="n"/>
    </row>
    <row r="169">
      <c r="A169" s="6" t="n"/>
      <c r="B169" s="5" t="n"/>
      <c r="C169" s="6" t="n"/>
      <c r="D169" s="6" t="n"/>
      <c r="E169" s="6" t="n"/>
      <c r="F169" s="6" t="n"/>
      <c r="G169" s="6" t="n"/>
      <c r="H169" s="6" t="n"/>
      <c r="I169" s="6" t="n"/>
      <c r="J169" s="6" t="n"/>
      <c r="K169" s="6" t="n"/>
      <c r="L169" s="6" t="n"/>
    </row>
    <row r="170">
      <c r="A170" s="6" t="n"/>
      <c r="B170" s="5" t="n"/>
      <c r="C170" s="6" t="n"/>
      <c r="D170" s="6" t="n"/>
      <c r="E170" s="6" t="n"/>
      <c r="F170" s="6" t="n"/>
      <c r="G170" s="6" t="n"/>
      <c r="H170" s="6" t="n"/>
      <c r="I170" s="6" t="n"/>
      <c r="J170" s="6" t="n"/>
      <c r="K170" s="6" t="n"/>
      <c r="L170" s="6" t="n"/>
    </row>
    <row r="171">
      <c r="A171" s="6" t="n"/>
      <c r="B171" s="5" t="n"/>
      <c r="C171" s="6" t="n"/>
      <c r="D171" s="6" t="n"/>
      <c r="E171" s="6" t="n"/>
      <c r="F171" s="6" t="n"/>
      <c r="G171" s="6" t="n"/>
      <c r="H171" s="6" t="n"/>
      <c r="I171" s="6" t="n"/>
      <c r="J171" s="6" t="n"/>
      <c r="K171" s="6" t="n"/>
      <c r="L171" s="6" t="n"/>
    </row>
    <row r="172">
      <c r="A172" s="6" t="n"/>
      <c r="B172" s="5" t="n"/>
      <c r="C172" s="6" t="n"/>
      <c r="D172" s="6" t="n"/>
      <c r="E172" s="6" t="n"/>
      <c r="F172" s="6" t="n"/>
      <c r="G172" s="6" t="n"/>
      <c r="H172" s="6" t="n"/>
      <c r="I172" s="6" t="n"/>
      <c r="J172" s="6" t="n"/>
      <c r="K172" s="6" t="n"/>
      <c r="L172" s="6" t="n"/>
    </row>
    <row r="173">
      <c r="A173" s="6" t="n"/>
      <c r="B173" s="5" t="n"/>
      <c r="C173" s="6" t="n"/>
      <c r="D173" s="6" t="n"/>
      <c r="E173" s="6" t="n"/>
      <c r="F173" s="6" t="n"/>
      <c r="G173" s="6" t="n"/>
      <c r="H173" s="6" t="n"/>
      <c r="I173" s="6" t="n"/>
      <c r="J173" s="6" t="n"/>
      <c r="K173" s="6" t="n"/>
      <c r="L173" s="6" t="n"/>
    </row>
    <row r="174">
      <c r="A174" s="6" t="n"/>
      <c r="B174" s="5" t="n"/>
      <c r="C174" s="6" t="n"/>
      <c r="D174" s="6" t="n"/>
      <c r="E174" s="6" t="n"/>
      <c r="F174" s="6" t="n"/>
      <c r="G174" s="6" t="n"/>
      <c r="H174" s="6" t="n"/>
      <c r="I174" s="6" t="n"/>
      <c r="J174" s="6" t="n"/>
      <c r="K174" s="6" t="n"/>
      <c r="L174" s="6" t="n"/>
    </row>
    <row r="175">
      <c r="A175" s="6" t="n"/>
      <c r="B175" s="5" t="n"/>
      <c r="C175" s="6" t="n"/>
      <c r="D175" s="6" t="n"/>
      <c r="E175" s="6" t="n"/>
      <c r="F175" s="6" t="n"/>
      <c r="G175" s="6" t="n"/>
      <c r="H175" s="6" t="n"/>
      <c r="I175" s="6" t="n"/>
      <c r="J175" s="6" t="n"/>
      <c r="K175" s="6" t="n"/>
      <c r="L175" s="6" t="n"/>
    </row>
    <row r="176">
      <c r="A176" s="6" t="n"/>
      <c r="B176" s="5" t="n"/>
      <c r="C176" s="6" t="n"/>
      <c r="D176" s="6" t="n"/>
      <c r="E176" s="6" t="n"/>
      <c r="F176" s="6" t="n"/>
      <c r="G176" s="6" t="n"/>
      <c r="H176" s="6" t="n"/>
      <c r="I176" s="6" t="n"/>
      <c r="J176" s="6" t="n"/>
      <c r="K176" s="6" t="n"/>
      <c r="L176" s="6" t="n"/>
    </row>
    <row r="177">
      <c r="A177" s="6" t="n"/>
      <c r="B177" s="5" t="n"/>
      <c r="C177" s="6" t="n"/>
      <c r="D177" s="6" t="n"/>
      <c r="E177" s="6" t="n"/>
      <c r="F177" s="6" t="n"/>
      <c r="G177" s="6" t="n"/>
      <c r="H177" s="6" t="n"/>
      <c r="I177" s="6" t="n"/>
      <c r="J177" s="6" t="n"/>
      <c r="K177" s="6" t="n"/>
      <c r="L177" s="6" t="n"/>
    </row>
    <row r="178">
      <c r="A178" s="6" t="n"/>
      <c r="B178" s="5" t="n"/>
      <c r="C178" s="6" t="n"/>
      <c r="D178" s="6" t="n"/>
      <c r="E178" s="6" t="n"/>
      <c r="F178" s="6" t="n"/>
      <c r="G178" s="6" t="n"/>
      <c r="H178" s="6" t="n"/>
      <c r="I178" s="6" t="n"/>
      <c r="J178" s="6" t="n"/>
      <c r="K178" s="6" t="n"/>
      <c r="L178" s="6" t="n"/>
    </row>
    <row r="179">
      <c r="A179" s="6" t="n"/>
      <c r="B179" s="5" t="n"/>
      <c r="C179" s="6" t="n"/>
      <c r="D179" s="6" t="n"/>
      <c r="E179" s="6" t="n"/>
      <c r="F179" s="6" t="n"/>
      <c r="G179" s="6" t="n"/>
      <c r="H179" s="6" t="n"/>
      <c r="I179" s="6" t="n"/>
      <c r="J179" s="6" t="n"/>
      <c r="K179" s="6" t="n"/>
      <c r="L179" s="6" t="n"/>
    </row>
    <row r="180">
      <c r="A180" s="6" t="n"/>
      <c r="B180" s="5" t="n"/>
      <c r="C180" s="6" t="n"/>
      <c r="D180" s="6" t="n"/>
      <c r="E180" s="6" t="n"/>
      <c r="F180" s="6" t="n"/>
      <c r="G180" s="6" t="n"/>
      <c r="H180" s="6" t="n"/>
      <c r="I180" s="6" t="n"/>
      <c r="J180" s="6" t="n"/>
      <c r="K180" s="6" t="n"/>
      <c r="L180" s="6" t="n"/>
    </row>
    <row r="181">
      <c r="A181" s="6" t="n"/>
      <c r="B181" s="5" t="n"/>
      <c r="C181" s="6" t="n"/>
      <c r="D181" s="6" t="n"/>
      <c r="E181" s="6" t="n"/>
      <c r="F181" s="6" t="n"/>
      <c r="G181" s="6" t="n"/>
      <c r="H181" s="6" t="n"/>
      <c r="I181" s="6" t="n"/>
      <c r="J181" s="6" t="n"/>
      <c r="K181" s="6" t="n"/>
      <c r="L181" s="6" t="n"/>
    </row>
    <row r="182">
      <c r="A182" s="6" t="n"/>
      <c r="B182" s="5" t="n"/>
      <c r="C182" s="6" t="n"/>
      <c r="D182" s="6" t="n"/>
      <c r="E182" s="6" t="n"/>
      <c r="F182" s="6" t="n"/>
      <c r="G182" s="6" t="n"/>
      <c r="H182" s="6" t="n"/>
      <c r="I182" s="6" t="n"/>
      <c r="J182" s="6" t="n"/>
      <c r="K182" s="6" t="n"/>
      <c r="L182" s="6" t="n"/>
    </row>
    <row r="183">
      <c r="A183" s="6" t="n"/>
      <c r="B183" s="5" t="n"/>
      <c r="C183" s="6" t="n"/>
      <c r="D183" s="6" t="n"/>
      <c r="E183" s="6" t="n"/>
      <c r="F183" s="6" t="n"/>
      <c r="G183" s="6" t="n"/>
      <c r="H183" s="6" t="n"/>
      <c r="I183" s="6" t="n"/>
      <c r="J183" s="6" t="n"/>
      <c r="K183" s="6" t="n"/>
      <c r="L183" s="6" t="n"/>
    </row>
    <row r="184">
      <c r="A184" s="6" t="n"/>
      <c r="B184" s="5" t="n"/>
      <c r="C184" s="6" t="n"/>
      <c r="D184" s="6" t="n"/>
      <c r="E184" s="6" t="n"/>
      <c r="F184" s="6" t="n"/>
      <c r="G184" s="6" t="n"/>
      <c r="H184" s="6" t="n"/>
      <c r="I184" s="6" t="n"/>
      <c r="J184" s="6" t="n"/>
      <c r="K184" s="6" t="n"/>
      <c r="L184" s="6" t="n"/>
    </row>
    <row r="185">
      <c r="A185" s="6" t="n"/>
      <c r="B185" s="5" t="n"/>
      <c r="C185" s="6" t="n"/>
      <c r="D185" s="6" t="n"/>
      <c r="E185" s="6" t="n"/>
      <c r="F185" s="6" t="n"/>
      <c r="G185" s="6" t="n"/>
      <c r="H185" s="6" t="n"/>
      <c r="I185" s="6" t="n"/>
      <c r="J185" s="6" t="n"/>
      <c r="K185" s="6" t="n"/>
      <c r="L185" s="6" t="n"/>
    </row>
    <row r="186">
      <c r="A186" s="6" t="n"/>
      <c r="B186" s="5" t="n"/>
      <c r="C186" s="6" t="n"/>
      <c r="D186" s="6" t="n"/>
      <c r="E186" s="6" t="n"/>
      <c r="F186" s="6" t="n"/>
      <c r="G186" s="6" t="n"/>
      <c r="H186" s="6" t="n"/>
      <c r="I186" s="6" t="n"/>
      <c r="J186" s="6" t="n"/>
      <c r="K186" s="6" t="n"/>
      <c r="L186" s="6" t="n"/>
    </row>
    <row r="187">
      <c r="A187" s="6" t="n"/>
      <c r="B187" s="5" t="n"/>
      <c r="C187" s="6" t="n"/>
      <c r="D187" s="6" t="n"/>
      <c r="E187" s="6" t="n"/>
      <c r="F187" s="6" t="n"/>
      <c r="G187" s="6" t="n"/>
      <c r="H187" s="6" t="n"/>
      <c r="I187" s="6" t="n"/>
      <c r="J187" s="6" t="n"/>
      <c r="K187" s="6" t="n"/>
      <c r="L187" s="6" t="n"/>
    </row>
    <row r="188">
      <c r="A188" s="6" t="n"/>
      <c r="B188" s="5" t="n"/>
      <c r="C188" s="6" t="n"/>
      <c r="D188" s="6" t="n"/>
      <c r="E188" s="6" t="n"/>
      <c r="F188" s="6" t="n"/>
      <c r="G188" s="6" t="n"/>
      <c r="H188" s="6" t="n"/>
      <c r="I188" s="6" t="n"/>
      <c r="J188" s="6" t="n"/>
      <c r="K188" s="6" t="n"/>
      <c r="L188" s="6" t="n"/>
    </row>
    <row r="189">
      <c r="A189" s="6" t="n"/>
      <c r="B189" s="5" t="n"/>
      <c r="C189" s="6" t="n"/>
      <c r="D189" s="6" t="n"/>
      <c r="E189" s="6" t="n"/>
      <c r="F189" s="6" t="n"/>
      <c r="G189" s="6" t="n"/>
      <c r="H189" s="6" t="n"/>
      <c r="I189" s="6" t="n"/>
      <c r="J189" s="6" t="n"/>
      <c r="K189" s="6" t="n"/>
      <c r="L189" s="6" t="n"/>
    </row>
    <row r="190">
      <c r="A190" s="6" t="n"/>
      <c r="B190" s="5" t="n"/>
      <c r="C190" s="6" t="n"/>
      <c r="D190" s="6" t="n"/>
      <c r="E190" s="6" t="n"/>
      <c r="F190" s="6" t="n"/>
      <c r="G190" s="6" t="n"/>
      <c r="H190" s="6" t="n"/>
      <c r="I190" s="6" t="n"/>
      <c r="J190" s="6" t="n"/>
      <c r="K190" s="6" t="n"/>
      <c r="L190" s="6" t="n"/>
    </row>
    <row r="191">
      <c r="A191" s="6" t="n"/>
      <c r="B191" s="5" t="n"/>
      <c r="C191" s="6" t="n"/>
      <c r="D191" s="6" t="n"/>
      <c r="E191" s="6" t="n"/>
      <c r="F191" s="6" t="n"/>
      <c r="G191" s="6" t="n"/>
      <c r="H191" s="6" t="n"/>
      <c r="I191" s="6" t="n"/>
      <c r="J191" s="6" t="n"/>
      <c r="K191" s="6" t="n"/>
      <c r="L191" s="6" t="n"/>
    </row>
    <row r="192">
      <c r="A192" s="6" t="n"/>
      <c r="B192" s="5" t="n"/>
      <c r="C192" s="6" t="n"/>
      <c r="D192" s="6" t="n"/>
      <c r="E192" s="6" t="n"/>
      <c r="F192" s="6" t="n"/>
      <c r="G192" s="6" t="n"/>
      <c r="H192" s="6" t="n"/>
      <c r="I192" s="6" t="n"/>
      <c r="J192" s="6" t="n"/>
      <c r="K192" s="6" t="n"/>
      <c r="L192" s="6" t="n"/>
    </row>
    <row r="193">
      <c r="A193" s="6" t="n"/>
      <c r="B193" s="5" t="n"/>
      <c r="C193" s="6" t="n"/>
      <c r="D193" s="6" t="n"/>
      <c r="E193" s="6" t="n"/>
      <c r="F193" s="6" t="n"/>
      <c r="G193" s="6" t="n"/>
      <c r="H193" s="6" t="n"/>
      <c r="I193" s="6" t="n"/>
      <c r="J193" s="6" t="n"/>
      <c r="K193" s="6" t="n"/>
      <c r="L193" s="6" t="n"/>
    </row>
    <row r="194">
      <c r="A194" s="6" t="n"/>
      <c r="B194" s="5" t="n"/>
      <c r="C194" s="6" t="n"/>
      <c r="D194" s="6" t="n"/>
      <c r="E194" s="6" t="n"/>
      <c r="F194" s="6" t="n"/>
      <c r="G194" s="6" t="n"/>
      <c r="H194" s="6" t="n"/>
      <c r="I194" s="6" t="n"/>
      <c r="J194" s="6" t="n"/>
      <c r="K194" s="6" t="n"/>
      <c r="L194" s="6" t="n"/>
    </row>
    <row r="195">
      <c r="A195" s="6" t="n"/>
      <c r="B195" s="5" t="n"/>
      <c r="C195" s="6" t="n"/>
      <c r="D195" s="6" t="n"/>
      <c r="E195" s="6" t="n"/>
      <c r="F195" s="6" t="n"/>
      <c r="G195" s="6" t="n"/>
      <c r="H195" s="6" t="n"/>
      <c r="I195" s="6" t="n"/>
      <c r="J195" s="6" t="n"/>
      <c r="K195" s="6" t="n"/>
      <c r="L195" s="6" t="n"/>
    </row>
    <row r="196">
      <c r="A196" s="6" t="n"/>
      <c r="B196" s="5" t="n"/>
      <c r="C196" s="6" t="n"/>
      <c r="D196" s="6" t="n"/>
      <c r="E196" s="6" t="n"/>
      <c r="F196" s="6" t="n"/>
      <c r="G196" s="6" t="n"/>
      <c r="H196" s="6" t="n"/>
      <c r="I196" s="6" t="n"/>
      <c r="J196" s="6" t="n"/>
      <c r="K196" s="6" t="n"/>
      <c r="L196" s="6" t="n"/>
    </row>
    <row r="197">
      <c r="A197" s="6" t="n"/>
      <c r="B197" s="5" t="n"/>
      <c r="C197" s="6" t="n"/>
      <c r="D197" s="6" t="n"/>
      <c r="E197" s="6" t="n"/>
      <c r="F197" s="6" t="n"/>
      <c r="G197" s="6" t="n"/>
      <c r="H197" s="6" t="n"/>
      <c r="I197" s="6" t="n"/>
      <c r="J197" s="6" t="n"/>
      <c r="K197" s="6" t="n"/>
      <c r="L197" s="6" t="n"/>
    </row>
    <row r="198">
      <c r="A198" s="6" t="n"/>
      <c r="B198" s="5" t="n"/>
      <c r="C198" s="6" t="n"/>
      <c r="D198" s="6" t="n"/>
      <c r="E198" s="6" t="n"/>
      <c r="F198" s="6" t="n"/>
      <c r="G198" s="6" t="n"/>
      <c r="H198" s="6" t="n"/>
      <c r="I198" s="6" t="n"/>
      <c r="J198" s="6" t="n"/>
      <c r="K198" s="6" t="n"/>
      <c r="L198" s="6" t="n"/>
    </row>
    <row r="199">
      <c r="A199" s="6" t="n"/>
      <c r="B199" s="5" t="n"/>
      <c r="C199" s="6" t="n"/>
      <c r="D199" s="6" t="n"/>
      <c r="E199" s="6" t="n"/>
      <c r="F199" s="6" t="n"/>
      <c r="G199" s="6" t="n"/>
      <c r="H199" s="6" t="n"/>
      <c r="I199" s="6" t="n"/>
      <c r="J199" s="6" t="n"/>
      <c r="K199" s="6" t="n"/>
      <c r="L199" s="6" t="n"/>
    </row>
    <row r="200">
      <c r="A200" s="6" t="n"/>
      <c r="B200" s="5" t="n"/>
      <c r="C200" s="6" t="n"/>
      <c r="D200" s="6" t="n"/>
      <c r="E200" s="6" t="n"/>
      <c r="F200" s="6" t="n"/>
      <c r="G200" s="6" t="n"/>
      <c r="H200" s="6" t="n"/>
      <c r="I200" s="6" t="n"/>
      <c r="J200" s="6" t="n"/>
      <c r="K200" s="6" t="n"/>
      <c r="L200" s="6" t="n"/>
    </row>
    <row r="201">
      <c r="A201" s="6" t="n"/>
      <c r="B201" s="5" t="n"/>
      <c r="C201" s="6" t="n"/>
      <c r="D201" s="6" t="n"/>
      <c r="E201" s="6" t="n"/>
      <c r="F201" s="6" t="n"/>
      <c r="G201" s="6" t="n"/>
      <c r="H201" s="6" t="n"/>
      <c r="I201" s="6" t="n"/>
      <c r="J201" s="6" t="n"/>
      <c r="K201" s="6" t="n"/>
      <c r="L201" s="6" t="n"/>
    </row>
    <row r="202">
      <c r="A202" s="6" t="n"/>
      <c r="B202" s="5" t="n"/>
      <c r="C202" s="6" t="n"/>
      <c r="D202" s="6" t="n"/>
      <c r="E202" s="6" t="n"/>
      <c r="F202" s="6" t="n"/>
      <c r="G202" s="6" t="n"/>
      <c r="H202" s="6" t="n"/>
      <c r="I202" s="6" t="n"/>
      <c r="J202" s="6" t="n"/>
      <c r="K202" s="6" t="n"/>
      <c r="L202" s="6" t="n"/>
    </row>
    <row r="203">
      <c r="A203" s="6" t="n"/>
      <c r="B203" s="5" t="n"/>
      <c r="C203" s="6" t="n"/>
      <c r="D203" s="6" t="n"/>
      <c r="E203" s="6" t="n"/>
      <c r="F203" s="6" t="n"/>
      <c r="G203" s="6" t="n"/>
      <c r="H203" s="6" t="n"/>
      <c r="I203" s="6" t="n"/>
      <c r="J203" s="6" t="n"/>
      <c r="K203" s="6" t="n"/>
      <c r="L203" s="6" t="n"/>
    </row>
  </sheetData>
  <dataValidations count="7">
    <dataValidation sqref="C4:C203" showDropDown="0" showInputMessage="0" showErrorMessage="0" allowBlank="1" type="list">
      <formula1>"0,1,2,3,4"</formula1>
    </dataValidation>
    <dataValidation sqref="F4:F203" showDropDown="0" showInputMessage="0" showErrorMessage="0" allowBlank="1" type="list">
      <formula1>"Bloqueante,Alta,Media,Baja"</formula1>
    </dataValidation>
    <dataValidation sqref="G4:G203" showDropDown="0" showInputMessage="0" showErrorMessage="0" allowBlank="1" type="list">
      <formula1>"requisito,diseño,lógica,cálculo,validación,interfaz,datos,entorno"</formula1>
    </dataValidation>
    <dataValidation sqref="H4:H203" showDropDown="0" showInputMessage="0" showErrorMessage="0" allowBlank="1" type="list">
      <formula1>"Requisitos,Diseño,Código,Pruebas,Entrega"</formula1>
    </dataValidation>
    <dataValidation sqref="I4:I203" showDropDown="0" showInputMessage="0" showErrorMessage="0" allowBlank="1" type="list">
      <formula1>"Requisitos,Diseño,Código,Pruebas,Entrega"</formula1>
    </dataValidation>
    <dataValidation sqref="K4:K203" showDropDown="0" showInputMessage="0" showErrorMessage="0" allowBlank="1" type="list">
      <formula1>"Mikael Ramos,Kevin Zambrano"</formula1>
    </dataValidation>
    <dataValidation sqref="L4:L203" showDropDown="0" showInputMessage="0" showErrorMessage="0" allowBlank="1" type="list">
      <formula1>"Nuevo,Asignado,Corregido,Verificado,Cerrado"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cols>
    <col width="8" customWidth="1" min="1" max="1"/>
    <col width="18" customWidth="1" min="2" max="2"/>
    <col width="12" customWidth="1" min="3" max="3"/>
    <col width="14" customWidth="1" min="4" max="4"/>
    <col width="16" customWidth="1" min="5" max="5"/>
    <col width="8" customWidth="1" min="6" max="6"/>
    <col width="8" customWidth="1" min="7" max="7"/>
    <col width="8" customWidth="1" min="8" max="8"/>
    <col width="14" customWidth="1" min="9" max="9"/>
    <col width="18" customWidth="1" min="10" max="10"/>
    <col width="12" customWidth="1" min="11" max="11"/>
    <col width="12" customWidth="1" min="12" max="12"/>
    <col width="16" customWidth="1" min="13" max="13"/>
  </cols>
  <sheetData>
    <row r="1">
      <c r="A1" s="4" t="inlineStr">
        <is>
          <t>Informe de métricas por sprint. Escriba solo las celdas con borde grueso; el resto se calcula con fórmulas.</t>
        </is>
      </c>
    </row>
    <row r="3" ht="45" customHeight="1">
      <c r="A3" s="2" t="inlineStr">
        <is>
          <t>Sprint</t>
        </is>
      </c>
      <c r="B3" s="2" t="inlineStr">
        <is>
          <t>Horas netas</t>
        </is>
      </c>
      <c r="C3" s="2" t="inlineStr">
        <is>
          <t>Defectos registrados</t>
        </is>
      </c>
      <c r="D3" s="2" t="inlineStr">
        <is>
          <t>Defectos por hora (M-20)</t>
        </is>
      </c>
      <c r="E3" s="2" t="inlineStr">
        <is>
          <t>Bloqueantes</t>
        </is>
      </c>
      <c r="F3" s="2" t="inlineStr">
        <is>
          <t>Altas</t>
        </is>
      </c>
      <c r="G3" s="2" t="inlineStr">
        <is>
          <t>Medias</t>
        </is>
      </c>
      <c r="H3" s="2" t="inlineStr">
        <is>
          <t>Bajas</t>
        </is>
      </c>
      <c r="I3" s="2" t="inlineStr">
        <is>
          <t>Horas estimadas</t>
        </is>
      </c>
      <c r="J3" s="2" t="inlineStr">
        <is>
          <t>Desviación del esfuerzo % (M-22)</t>
        </is>
      </c>
      <c r="K3" s="2" t="inlineStr">
        <is>
          <t>Tareas planeadas</t>
        </is>
      </c>
      <c r="L3" s="2" t="inlineStr">
        <is>
          <t>Tareas a tiempo</t>
        </is>
      </c>
      <c r="M3" s="2" t="inlineStr">
        <is>
          <t>Cumplimiento % (M-23)</t>
        </is>
      </c>
    </row>
    <row r="4">
      <c r="A4" s="8" t="n">
        <v>0</v>
      </c>
      <c r="B4" s="8">
        <f>ROUND(SUMIFS(Bitacora_Tiempo!$H$4:$H$203,Bitacora_Tiempo!$B$4:$B$203,A4)/60,2)</f>
        <v/>
      </c>
      <c r="C4" s="8">
        <f>COUNTIFS(Registro_Defectos!$C$4:$C$203,A4,Registro_Defectos!$A$4:$A$203,"&lt;&gt;")</f>
        <v/>
      </c>
      <c r="D4" s="8">
        <f>IF(B4=0,"",ROUND(C4/B4,2))</f>
        <v/>
      </c>
      <c r="E4" s="8">
        <f>COUNTIFS(Registro_Defectos!$C$4:$C$203,A4,Registro_Defectos!$F$4:$F$203,"Bloqueante")</f>
        <v/>
      </c>
      <c r="F4" s="8">
        <f>COUNTIFS(Registro_Defectos!$C$4:$C$203,A4,Registro_Defectos!$F$4:$F$203,"Alta")</f>
        <v/>
      </c>
      <c r="G4" s="8">
        <f>COUNTIFS(Registro_Defectos!$C$4:$C$203,A4,Registro_Defectos!$F$4:$F$203,"Media")</f>
        <v/>
      </c>
      <c r="H4" s="8">
        <f>COUNTIFS(Registro_Defectos!$C$4:$C$203,A4,Registro_Defectos!$F$4:$F$203,"Baja")</f>
        <v/>
      </c>
      <c r="I4" s="9" t="n"/>
      <c r="J4" s="8">
        <f>IF(OR(I4="",I4=0),"",ROUND((B4-I4)/I4*100,1))</f>
        <v/>
      </c>
      <c r="K4" s="9" t="n"/>
      <c r="L4" s="9" t="n"/>
      <c r="M4" s="8">
        <f>IF(OR(K4="",K4=0),"",ROUND(L4/K4*100,1))</f>
        <v/>
      </c>
    </row>
    <row r="5">
      <c r="A5" s="8" t="n">
        <v>1</v>
      </c>
      <c r="B5" s="8">
        <f>ROUND(SUMIFS(Bitacora_Tiempo!$H$4:$H$203,Bitacora_Tiempo!$B$4:$B$203,A5)/60,2)</f>
        <v/>
      </c>
      <c r="C5" s="8">
        <f>COUNTIFS(Registro_Defectos!$C$4:$C$203,A5,Registro_Defectos!$A$4:$A$203,"&lt;&gt;")</f>
        <v/>
      </c>
      <c r="D5" s="8">
        <f>IF(B5=0,"",ROUND(C5/B5,2))</f>
        <v/>
      </c>
      <c r="E5" s="8">
        <f>COUNTIFS(Registro_Defectos!$C$4:$C$203,A5,Registro_Defectos!$F$4:$F$203,"Bloqueante")</f>
        <v/>
      </c>
      <c r="F5" s="8">
        <f>COUNTIFS(Registro_Defectos!$C$4:$C$203,A5,Registro_Defectos!$F$4:$F$203,"Alta")</f>
        <v/>
      </c>
      <c r="G5" s="8">
        <f>COUNTIFS(Registro_Defectos!$C$4:$C$203,A5,Registro_Defectos!$F$4:$F$203,"Media")</f>
        <v/>
      </c>
      <c r="H5" s="8">
        <f>COUNTIFS(Registro_Defectos!$C$4:$C$203,A5,Registro_Defectos!$F$4:$F$203,"Baja")</f>
        <v/>
      </c>
      <c r="I5" s="9" t="n"/>
      <c r="J5" s="8">
        <f>IF(OR(I5="",I5=0),"",ROUND((B5-I5)/I5*100,1))</f>
        <v/>
      </c>
      <c r="K5" s="9" t="n"/>
      <c r="L5" s="9" t="n"/>
      <c r="M5" s="8">
        <f>IF(OR(K5="",K5=0),"",ROUND(L5/K5*100,1))</f>
        <v/>
      </c>
    </row>
    <row r="6">
      <c r="A6" s="8" t="n">
        <v>2</v>
      </c>
      <c r="B6" s="8">
        <f>ROUND(SUMIFS(Bitacora_Tiempo!$H$4:$H$203,Bitacora_Tiempo!$B$4:$B$203,A6)/60,2)</f>
        <v/>
      </c>
      <c r="C6" s="8">
        <f>COUNTIFS(Registro_Defectos!$C$4:$C$203,A6,Registro_Defectos!$A$4:$A$203,"&lt;&gt;")</f>
        <v/>
      </c>
      <c r="D6" s="8">
        <f>IF(B6=0,"",ROUND(C6/B6,2))</f>
        <v/>
      </c>
      <c r="E6" s="8">
        <f>COUNTIFS(Registro_Defectos!$C$4:$C$203,A6,Registro_Defectos!$F$4:$F$203,"Bloqueante")</f>
        <v/>
      </c>
      <c r="F6" s="8">
        <f>COUNTIFS(Registro_Defectos!$C$4:$C$203,A6,Registro_Defectos!$F$4:$F$203,"Alta")</f>
        <v/>
      </c>
      <c r="G6" s="8">
        <f>COUNTIFS(Registro_Defectos!$C$4:$C$203,A6,Registro_Defectos!$F$4:$F$203,"Media")</f>
        <v/>
      </c>
      <c r="H6" s="8">
        <f>COUNTIFS(Registro_Defectos!$C$4:$C$203,A6,Registro_Defectos!$F$4:$F$203,"Baja")</f>
        <v/>
      </c>
      <c r="I6" s="9" t="n"/>
      <c r="J6" s="8">
        <f>IF(OR(I6="",I6=0),"",ROUND((B6-I6)/I6*100,1))</f>
        <v/>
      </c>
      <c r="K6" s="9" t="n"/>
      <c r="L6" s="9" t="n"/>
      <c r="M6" s="8">
        <f>IF(OR(K6="",K6=0),"",ROUND(L6/K6*100,1))</f>
        <v/>
      </c>
    </row>
    <row r="7">
      <c r="A7" s="8" t="n">
        <v>3</v>
      </c>
      <c r="B7" s="8">
        <f>ROUND(SUMIFS(Bitacora_Tiempo!$H$4:$H$203,Bitacora_Tiempo!$B$4:$B$203,A7)/60,2)</f>
        <v/>
      </c>
      <c r="C7" s="8">
        <f>COUNTIFS(Registro_Defectos!$C$4:$C$203,A7,Registro_Defectos!$A$4:$A$203,"&lt;&gt;")</f>
        <v/>
      </c>
      <c r="D7" s="8">
        <f>IF(B7=0,"",ROUND(C7/B7,2))</f>
        <v/>
      </c>
      <c r="E7" s="8">
        <f>COUNTIFS(Registro_Defectos!$C$4:$C$203,A7,Registro_Defectos!$F$4:$F$203,"Bloqueante")</f>
        <v/>
      </c>
      <c r="F7" s="8">
        <f>COUNTIFS(Registro_Defectos!$C$4:$C$203,A7,Registro_Defectos!$F$4:$F$203,"Alta")</f>
        <v/>
      </c>
      <c r="G7" s="8">
        <f>COUNTIFS(Registro_Defectos!$C$4:$C$203,A7,Registro_Defectos!$F$4:$F$203,"Media")</f>
        <v/>
      </c>
      <c r="H7" s="8">
        <f>COUNTIFS(Registro_Defectos!$C$4:$C$203,A7,Registro_Defectos!$F$4:$F$203,"Baja")</f>
        <v/>
      </c>
      <c r="I7" s="9" t="n"/>
      <c r="J7" s="8">
        <f>IF(OR(I7="",I7=0),"",ROUND((B7-I7)/I7*100,1))</f>
        <v/>
      </c>
      <c r="K7" s="9" t="n"/>
      <c r="L7" s="9" t="n"/>
      <c r="M7" s="8">
        <f>IF(OR(K7="",K7=0),"",ROUND(L7/K7*100,1))</f>
        <v/>
      </c>
    </row>
    <row r="8">
      <c r="A8" s="8" t="n">
        <v>4</v>
      </c>
      <c r="B8" s="8">
        <f>ROUND(SUMIFS(Bitacora_Tiempo!$H$4:$H$203,Bitacora_Tiempo!$B$4:$B$203,A8)/60,2)</f>
        <v/>
      </c>
      <c r="C8" s="8">
        <f>COUNTIFS(Registro_Defectos!$C$4:$C$203,A8,Registro_Defectos!$A$4:$A$203,"&lt;&gt;")</f>
        <v/>
      </c>
      <c r="D8" s="8">
        <f>IF(B8=0,"",ROUND(C8/B8,2))</f>
        <v/>
      </c>
      <c r="E8" s="8">
        <f>COUNTIFS(Registro_Defectos!$C$4:$C$203,A8,Registro_Defectos!$F$4:$F$203,"Bloqueante")</f>
        <v/>
      </c>
      <c r="F8" s="8">
        <f>COUNTIFS(Registro_Defectos!$C$4:$C$203,A8,Registro_Defectos!$F$4:$F$203,"Alta")</f>
        <v/>
      </c>
      <c r="G8" s="8">
        <f>COUNTIFS(Registro_Defectos!$C$4:$C$203,A8,Registro_Defectos!$F$4:$F$203,"Media")</f>
        <v/>
      </c>
      <c r="H8" s="8">
        <f>COUNTIFS(Registro_Defectos!$C$4:$C$203,A8,Registro_Defectos!$F$4:$F$203,"Baja")</f>
        <v/>
      </c>
      <c r="I8" s="9" t="n"/>
      <c r="J8" s="8">
        <f>IF(OR(I8="",I8=0),"",ROUND((B8-I8)/I8*100,1))</f>
        <v/>
      </c>
      <c r="K8" s="9" t="n"/>
      <c r="L8" s="9" t="n"/>
      <c r="M8" s="8">
        <f>IF(OR(K8="",K8=0),"",ROUND(L8/K8*100,1))</f>
        <v/>
      </c>
    </row>
    <row r="10">
      <c r="A10" s="4" t="inlineStr">
        <is>
          <t>Tasa de defectos por integrante (M-20)</t>
        </is>
      </c>
    </row>
    <row r="11">
      <c r="A11" s="2" t="inlineStr">
        <is>
          <t>Sprint</t>
        </is>
      </c>
      <c r="B11" s="2" t="inlineStr">
        <is>
          <t>Integrante</t>
        </is>
      </c>
      <c r="C11" s="2" t="inlineStr">
        <is>
          <t>Horas netas</t>
        </is>
      </c>
      <c r="D11" s="2" t="inlineStr">
        <is>
          <t>Defectos que introdujo</t>
        </is>
      </c>
      <c r="E11" s="2" t="inlineStr">
        <is>
          <t>Defectos por hora</t>
        </is>
      </c>
    </row>
    <row r="12">
      <c r="A12" s="6" t="n">
        <v>1</v>
      </c>
      <c r="B12" s="6" t="inlineStr">
        <is>
          <t>Mikael Ramos</t>
        </is>
      </c>
      <c r="C12" s="6">
        <f>ROUND(SUMIFS(Bitacora_Tiempo!$H$4:$H$203,Bitacora_Tiempo!$B$4:$B$203,A12,Bitacora_Tiempo!$C$4:$C$203,B12,Bitacora_Tiempo!$D$4:$D$203,"Código")/60+SUMIFS(Bitacora_Tiempo!$H$4:$H$203,Bitacora_Tiempo!$B$4:$B$203,A12,Bitacora_Tiempo!$C$4:$C$203,B12,Bitacora_Tiempo!$D$4:$D$203,"Diseño")/60,2)</f>
        <v/>
      </c>
      <c r="D12" s="6">
        <f>COUNTIFS(Registro_Defectos!$C$4:$C$203,A12,Registro_Defectos!$K$4:$K$203,B12)</f>
        <v/>
      </c>
      <c r="E12" s="6">
        <f>IF(C12=0,"",ROUND(D12/C12,2))</f>
        <v/>
      </c>
    </row>
    <row r="13">
      <c r="A13" s="6" t="n">
        <v>1</v>
      </c>
      <c r="B13" s="6" t="inlineStr">
        <is>
          <t>Kevin Zambrano</t>
        </is>
      </c>
      <c r="C13" s="6">
        <f>ROUND(SUMIFS(Bitacora_Tiempo!$H$4:$H$203,Bitacora_Tiempo!$B$4:$B$203,A13,Bitacora_Tiempo!$C$4:$C$203,B13,Bitacora_Tiempo!$D$4:$D$203,"Código")/60+SUMIFS(Bitacora_Tiempo!$H$4:$H$203,Bitacora_Tiempo!$B$4:$B$203,A13,Bitacora_Tiempo!$C$4:$C$203,B13,Bitacora_Tiempo!$D$4:$D$203,"Diseño")/60,2)</f>
        <v/>
      </c>
      <c r="D13" s="6">
        <f>COUNTIFS(Registro_Defectos!$C$4:$C$203,A13,Registro_Defectos!$K$4:$K$203,B13)</f>
        <v/>
      </c>
      <c r="E13" s="6">
        <f>IF(C13=0,"",ROUND(D13/C13,2))</f>
        <v/>
      </c>
    </row>
    <row r="14">
      <c r="A14" s="6" t="n">
        <v>2</v>
      </c>
      <c r="B14" s="6" t="inlineStr">
        <is>
          <t>Mikael Ramos</t>
        </is>
      </c>
      <c r="C14" s="6">
        <f>ROUND(SUMIFS(Bitacora_Tiempo!$H$4:$H$203,Bitacora_Tiempo!$B$4:$B$203,A14,Bitacora_Tiempo!$C$4:$C$203,B14,Bitacora_Tiempo!$D$4:$D$203,"Código")/60+SUMIFS(Bitacora_Tiempo!$H$4:$H$203,Bitacora_Tiempo!$B$4:$B$203,A14,Bitacora_Tiempo!$C$4:$C$203,B14,Bitacora_Tiempo!$D$4:$D$203,"Diseño")/60,2)</f>
        <v/>
      </c>
      <c r="D14" s="6">
        <f>COUNTIFS(Registro_Defectos!$C$4:$C$203,A14,Registro_Defectos!$K$4:$K$203,B14)</f>
        <v/>
      </c>
      <c r="E14" s="6">
        <f>IF(C14=0,"",ROUND(D14/C14,2))</f>
        <v/>
      </c>
    </row>
    <row r="15">
      <c r="A15" s="6" t="n">
        <v>2</v>
      </c>
      <c r="B15" s="6" t="inlineStr">
        <is>
          <t>Kevin Zambrano</t>
        </is>
      </c>
      <c r="C15" s="6">
        <f>ROUND(SUMIFS(Bitacora_Tiempo!$H$4:$H$203,Bitacora_Tiempo!$B$4:$B$203,A15,Bitacora_Tiempo!$C$4:$C$203,B15,Bitacora_Tiempo!$D$4:$D$203,"Código")/60+SUMIFS(Bitacora_Tiempo!$H$4:$H$203,Bitacora_Tiempo!$B$4:$B$203,A15,Bitacora_Tiempo!$C$4:$C$203,B15,Bitacora_Tiempo!$D$4:$D$203,"Diseño")/60,2)</f>
        <v/>
      </c>
      <c r="D15" s="6">
        <f>COUNTIFS(Registro_Defectos!$C$4:$C$203,A15,Registro_Defectos!$K$4:$K$203,B15)</f>
        <v/>
      </c>
      <c r="E15" s="6">
        <f>IF(C15=0,"",ROUND(D15/C15,2))</f>
        <v/>
      </c>
    </row>
    <row r="16">
      <c r="A16" s="6" t="n">
        <v>3</v>
      </c>
      <c r="B16" s="6" t="inlineStr">
        <is>
          <t>Mikael Ramos</t>
        </is>
      </c>
      <c r="C16" s="6">
        <f>ROUND(SUMIFS(Bitacora_Tiempo!$H$4:$H$203,Bitacora_Tiempo!$B$4:$B$203,A16,Bitacora_Tiempo!$C$4:$C$203,B16,Bitacora_Tiempo!$D$4:$D$203,"Código")/60+SUMIFS(Bitacora_Tiempo!$H$4:$H$203,Bitacora_Tiempo!$B$4:$B$203,A16,Bitacora_Tiempo!$C$4:$C$203,B16,Bitacora_Tiempo!$D$4:$D$203,"Diseño")/60,2)</f>
        <v/>
      </c>
      <c r="D16" s="6">
        <f>COUNTIFS(Registro_Defectos!$C$4:$C$203,A16,Registro_Defectos!$K$4:$K$203,B16)</f>
        <v/>
      </c>
      <c r="E16" s="6">
        <f>IF(C16=0,"",ROUND(D16/C16,2))</f>
        <v/>
      </c>
    </row>
    <row r="17">
      <c r="A17" s="6" t="n">
        <v>3</v>
      </c>
      <c r="B17" s="6" t="inlineStr">
        <is>
          <t>Kevin Zambrano</t>
        </is>
      </c>
      <c r="C17" s="6">
        <f>ROUND(SUMIFS(Bitacora_Tiempo!$H$4:$H$203,Bitacora_Tiempo!$B$4:$B$203,A17,Bitacora_Tiempo!$C$4:$C$203,B17,Bitacora_Tiempo!$D$4:$D$203,"Código")/60+SUMIFS(Bitacora_Tiempo!$H$4:$H$203,Bitacora_Tiempo!$B$4:$B$203,A17,Bitacora_Tiempo!$C$4:$C$203,B17,Bitacora_Tiempo!$D$4:$D$203,"Diseño")/60,2)</f>
        <v/>
      </c>
      <c r="D17" s="6">
        <f>COUNTIFS(Registro_Defectos!$C$4:$C$203,A17,Registro_Defectos!$K$4:$K$203,B17)</f>
        <v/>
      </c>
      <c r="E17" s="6">
        <f>IF(C17=0,"",ROUND(D17/C17,2))</f>
        <v/>
      </c>
    </row>
    <row r="18">
      <c r="A18" s="6" t="n">
        <v>4</v>
      </c>
      <c r="B18" s="6" t="inlineStr">
        <is>
          <t>Mikael Ramos</t>
        </is>
      </c>
      <c r="C18" s="6">
        <f>ROUND(SUMIFS(Bitacora_Tiempo!$H$4:$H$203,Bitacora_Tiempo!$B$4:$B$203,A18,Bitacora_Tiempo!$C$4:$C$203,B18,Bitacora_Tiempo!$D$4:$D$203,"Código")/60+SUMIFS(Bitacora_Tiempo!$H$4:$H$203,Bitacora_Tiempo!$B$4:$B$203,A18,Bitacora_Tiempo!$C$4:$C$203,B18,Bitacora_Tiempo!$D$4:$D$203,"Diseño")/60,2)</f>
        <v/>
      </c>
      <c r="D18" s="6">
        <f>COUNTIFS(Registro_Defectos!$C$4:$C$203,A18,Registro_Defectos!$K$4:$K$203,B18)</f>
        <v/>
      </c>
      <c r="E18" s="6">
        <f>IF(C18=0,"",ROUND(D18/C18,2))</f>
        <v/>
      </c>
    </row>
    <row r="19">
      <c r="A19" s="6" t="n">
        <v>4</v>
      </c>
      <c r="B19" s="6" t="inlineStr">
        <is>
          <t>Kevin Zambrano</t>
        </is>
      </c>
      <c r="C19" s="6">
        <f>ROUND(SUMIFS(Bitacora_Tiempo!$H$4:$H$203,Bitacora_Tiempo!$B$4:$B$203,A19,Bitacora_Tiempo!$C$4:$C$203,B19,Bitacora_Tiempo!$D$4:$D$203,"Código")/60+SUMIFS(Bitacora_Tiempo!$H$4:$H$203,Bitacora_Tiempo!$B$4:$B$203,A19,Bitacora_Tiempo!$C$4:$C$203,B19,Bitacora_Tiempo!$D$4:$D$203,"Diseño")/60,2)</f>
        <v/>
      </c>
      <c r="D19" s="6">
        <f>COUNTIFS(Registro_Defectos!$C$4:$C$203,A19,Registro_Defectos!$K$4:$K$203,B19)</f>
        <v/>
      </c>
      <c r="E19" s="6">
        <f>IF(C19=0,"",ROUND(D19/C19,2))</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22" customWidth="1" min="1" max="1"/>
    <col width="60" customWidth="1" min="2" max="2"/>
    <col width="10" customWidth="1" min="3" max="3"/>
    <col width="11" customWidth="1" min="4" max="4"/>
    <col width="11" customWidth="1" min="5" max="5"/>
    <col width="8" customWidth="1" min="6" max="6"/>
    <col width="60" customWidth="1" min="7" max="7"/>
  </cols>
  <sheetData>
    <row r="1">
      <c r="A1" s="4" t="inlineStr">
        <is>
          <t>Número de Prioridad de Riesgo = Gravedad × Ocurrencia × Detección (cada factor de 1 a 10). Con 100 o más se exige revisión de código por el otro integrante.</t>
        </is>
      </c>
    </row>
    <row r="3">
      <c r="A3" s="2" t="inlineStr">
        <is>
          <t>Función</t>
        </is>
      </c>
      <c r="B3" s="2" t="inlineStr">
        <is>
          <t>Falla posible</t>
        </is>
      </c>
      <c r="C3" s="2" t="inlineStr">
        <is>
          <t>Gravedad</t>
        </is>
      </c>
      <c r="D3" s="2" t="inlineStr">
        <is>
          <t>Ocurrencia</t>
        </is>
      </c>
      <c r="E3" s="2" t="inlineStr">
        <is>
          <t>Detección</t>
        </is>
      </c>
      <c r="F3" s="2" t="inlineStr">
        <is>
          <t>NPR</t>
        </is>
      </c>
      <c r="G3" s="2" t="inlineStr">
        <is>
          <t>Decisión</t>
        </is>
      </c>
    </row>
    <row r="4">
      <c r="A4" s="3" t="inlineStr">
        <is>
          <t>iniciar_sesion</t>
        </is>
      </c>
      <c r="B4" s="3" t="inlineStr">
        <is>
          <t>Acceso indebido o bloqueo que no se aplica</t>
        </is>
      </c>
      <c r="C4" s="3" t="n">
        <v>9</v>
      </c>
      <c r="D4" s="3" t="n">
        <v>4</v>
      </c>
      <c r="E4" s="3" t="n">
        <v>4</v>
      </c>
      <c r="F4" s="3">
        <f>C4*D4*E4</f>
        <v/>
      </c>
      <c r="G4" s="3">
        <f>IF(F4&gt;=100,"Revisión de código por el otro integrante y prueba de seguridad","Revisión normal")</f>
        <v/>
      </c>
    </row>
    <row r="5">
      <c r="A5" s="3" t="inlineStr">
        <is>
          <t>calcular_utilidad</t>
        </is>
      </c>
      <c r="B5" s="3" t="inlineStr">
        <is>
          <t>Utilidad o rentabilidad con un valor erróneo</t>
        </is>
      </c>
      <c r="C5" s="3" t="n">
        <v>8</v>
      </c>
      <c r="D5" s="3" t="n">
        <v>3</v>
      </c>
      <c r="E5" s="3" t="n">
        <v>4</v>
      </c>
      <c r="F5" s="3">
        <f>C5*D5*E5</f>
        <v/>
      </c>
      <c r="G5" s="3">
        <f>IF(F5&gt;=100,"Revisión de código por el otro integrante y prueba de seguridad","Revisión normal")</f>
        <v/>
      </c>
    </row>
    <row r="6">
      <c r="A6" s="3" t="inlineStr">
        <is>
          <t>verificar_codigo</t>
        </is>
      </c>
      <c r="B6" s="3" t="inlineStr">
        <is>
          <t>Cuenta activada con un código vencido o agotado</t>
        </is>
      </c>
      <c r="C6" s="3" t="n">
        <v>7</v>
      </c>
      <c r="D6" s="3" t="n">
        <v>4</v>
      </c>
      <c r="E6" s="3" t="n">
        <v>3</v>
      </c>
      <c r="F6" s="3">
        <f>C6*D6*E6</f>
        <v/>
      </c>
      <c r="G6" s="3">
        <f>IF(F6&gt;=100,"Revisión de código por el otro integrante y prueba de seguridad","Revisión normal")</f>
        <v/>
      </c>
    </row>
    <row r="7">
      <c r="A7" s="3" t="inlineStr">
        <is>
          <t>matas_por_hectarea</t>
        </is>
      </c>
      <c r="B7" s="3" t="inlineStr">
        <is>
          <t>Cantidad de matas distinta a la real, con efecto en insumos y costos</t>
        </is>
      </c>
      <c r="C7" s="3" t="n">
        <v>8</v>
      </c>
      <c r="D7" s="3" t="n">
        <v>3</v>
      </c>
      <c r="E7" s="3" t="n">
        <v>3</v>
      </c>
      <c r="F7" s="3">
        <f>C7*D7*E7</f>
        <v/>
      </c>
      <c r="G7" s="3">
        <f>IF(F7&gt;=100,"Revisión de código por el otro integrante y prueba de seguridad","Revisión normal")</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2026-10-27T14:36:50Z</dcterms:created>
  <dcterms:modified xmlns:dcterms="http://purl.org/dc/terms/" xmlns:xsi="http://www.w3.org/2001/XMLSchema-instance" xsi:type="dcterms:W3CDTF">2026-10-28T06:54:22Z</dcterms:modified>
</cp:coreProperties>
</file>