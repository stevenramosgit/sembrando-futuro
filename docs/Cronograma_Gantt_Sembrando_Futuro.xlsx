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0000FF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sz val="7"/>
    </font>
    <font>
      <name val="Arial"/>
      <b val="1"/>
      <sz val="8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7F7F7F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textRotation="90"/>
    </xf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164" fontId="5" fillId="2" borderId="1" applyAlignment="1" pivotButton="0" quotePrefix="0" xfId="0">
      <alignment horizontal="center"/>
    </xf>
    <xf numFmtId="0" fontId="0" fillId="0" borderId="2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0" fontId="2" fillId="0" borderId="0" pivotButton="0" quotePrefix="0" xfId="0"/>
    <xf numFmtId="0" fontId="9" fillId="3" borderId="0" applyAlignment="1" pivotButton="0" quotePrefix="0" xfId="0">
      <alignment horizontal="center"/>
    </xf>
    <xf numFmtId="0" fontId="6" fillId="0" borderId="0" pivotButton="0" quotePrefix="0" xfId="0"/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165" fontId="7" fillId="0" borderId="1" applyAlignment="1" pivotButton="0" quotePrefix="0" xfId="0">
      <alignment horizontal="center" textRotation="90"/>
    </xf>
    <xf numFmtId="164" fontId="5" fillId="2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</cellXfs>
  <cellStyles count="1">
    <cellStyle name="Normal" xfId="0" builtinId="0" hidden="0"/>
  </cellStyles>
  <dxfs count="6">
    <dxf>
      <fill>
        <patternFill patternType="solid">
          <fgColor rgb="007F7F7F"/>
          <bgColor rgb="007F7F7F"/>
        </patternFill>
      </fill>
    </dxf>
    <dxf>
      <fill>
        <patternFill patternType="solid">
          <fgColor rgb="002E75B6"/>
          <bgColor rgb="002E75B6"/>
        </patternFill>
      </fill>
    </dxf>
    <dxf>
      <fill>
        <patternFill patternType="solid">
          <fgColor rgb="00548235"/>
          <bgColor rgb="00548235"/>
        </patternFill>
      </fill>
    </dxf>
    <dxf>
      <fill>
        <patternFill patternType="solid">
          <fgColor rgb="00BF8F00"/>
          <bgColor rgb="00BF8F00"/>
        </patternFill>
      </fill>
    </dxf>
    <dxf>
      <fill>
        <patternFill patternType="solid">
          <fgColor rgb="00C55A11"/>
          <bgColor rgb="00C55A11"/>
        </patternFill>
      </fill>
    </dxf>
    <dxf>
      <fill>
        <patternFill patternType="solid">
          <fgColor rgb="007030A0"/>
          <bgColor rgb="007030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A38"/>
  <sheetViews>
    <sheetView showGridLines="0"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0" customWidth="1" min="4" max="4"/>
    <col width="9" customWidth="1" min="5" max="5"/>
    <col width="12" customWidth="1" min="6" max="6"/>
    <col width="12" customWidth="1" min="7" max="7"/>
    <col width="7" customWidth="1" min="8" max="8"/>
    <col width="12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</cols>
  <sheetData>
    <row r="1">
      <c r="A1" s="1" t="inlineStr">
        <is>
          <t>Cronograma del proyecto Sembrando Futuro</t>
        </is>
      </c>
    </row>
    <row r="2">
      <c r="B2" s="2" t="inlineStr">
        <is>
          <t>Fecha de inicio (lunes de la semana 1):</t>
        </is>
      </c>
      <c r="C2" s="23" t="n">
        <v>46321</v>
      </c>
      <c r="D2" s="4" t="inlineStr">
        <is>
          <t>Cambie esta fecha y todas las fechas y barras se recalculan.</t>
        </is>
      </c>
    </row>
    <row r="3">
      <c r="J3" s="5">
        <f>IF(MOD(0,7)=0,"S"&amp;(0/7+1),"")</f>
        <v/>
      </c>
      <c r="K3" s="5">
        <f>IF(MOD(1,7)=0,"S"&amp;(1/7+1),"")</f>
        <v/>
      </c>
      <c r="L3" s="5">
        <f>IF(MOD(2,7)=0,"S"&amp;(2/7+1),"")</f>
        <v/>
      </c>
      <c r="M3" s="5">
        <f>IF(MOD(3,7)=0,"S"&amp;(3/7+1),"")</f>
        <v/>
      </c>
      <c r="N3" s="5">
        <f>IF(MOD(4,7)=0,"S"&amp;(4/7+1),"")</f>
        <v/>
      </c>
      <c r="O3" s="5">
        <f>IF(MOD(5,7)=0,"S"&amp;(5/7+1),"")</f>
        <v/>
      </c>
      <c r="P3" s="5">
        <f>IF(MOD(6,7)=0,"S"&amp;(6/7+1),"")</f>
        <v/>
      </c>
      <c r="Q3" s="5">
        <f>IF(MOD(7,7)=0,"S"&amp;(7/7+1),"")</f>
        <v/>
      </c>
      <c r="R3" s="5">
        <f>IF(MOD(8,7)=0,"S"&amp;(8/7+1),"")</f>
        <v/>
      </c>
      <c r="S3" s="5">
        <f>IF(MOD(9,7)=0,"S"&amp;(9/7+1),"")</f>
        <v/>
      </c>
      <c r="T3" s="5">
        <f>IF(MOD(10,7)=0,"S"&amp;(10/7+1),"")</f>
        <v/>
      </c>
      <c r="U3" s="5">
        <f>IF(MOD(11,7)=0,"S"&amp;(11/7+1),"")</f>
        <v/>
      </c>
      <c r="V3" s="5">
        <f>IF(MOD(12,7)=0,"S"&amp;(12/7+1),"")</f>
        <v/>
      </c>
      <c r="W3" s="5">
        <f>IF(MOD(13,7)=0,"S"&amp;(13/7+1),"")</f>
        <v/>
      </c>
      <c r="X3" s="5">
        <f>IF(MOD(14,7)=0,"S"&amp;(14/7+1),"")</f>
        <v/>
      </c>
      <c r="Y3" s="5">
        <f>IF(MOD(15,7)=0,"S"&amp;(15/7+1),"")</f>
        <v/>
      </c>
      <c r="Z3" s="5">
        <f>IF(MOD(16,7)=0,"S"&amp;(16/7+1),"")</f>
        <v/>
      </c>
      <c r="AA3" s="5">
        <f>IF(MOD(17,7)=0,"S"&amp;(17/7+1),"")</f>
        <v/>
      </c>
      <c r="AB3" s="5">
        <f>IF(MOD(18,7)=0,"S"&amp;(18/7+1),"")</f>
        <v/>
      </c>
      <c r="AC3" s="5">
        <f>IF(MOD(19,7)=0,"S"&amp;(19/7+1),"")</f>
        <v/>
      </c>
      <c r="AD3" s="5">
        <f>IF(MOD(20,7)=0,"S"&amp;(20/7+1),"")</f>
        <v/>
      </c>
      <c r="AE3" s="5">
        <f>IF(MOD(21,7)=0,"S"&amp;(21/7+1),"")</f>
        <v/>
      </c>
      <c r="AF3" s="5">
        <f>IF(MOD(22,7)=0,"S"&amp;(22/7+1),"")</f>
        <v/>
      </c>
      <c r="AG3" s="5">
        <f>IF(MOD(23,7)=0,"S"&amp;(23/7+1),"")</f>
        <v/>
      </c>
      <c r="AH3" s="5">
        <f>IF(MOD(24,7)=0,"S"&amp;(24/7+1),"")</f>
        <v/>
      </c>
      <c r="AI3" s="5">
        <f>IF(MOD(25,7)=0,"S"&amp;(25/7+1),"")</f>
        <v/>
      </c>
      <c r="AJ3" s="5">
        <f>IF(MOD(26,7)=0,"S"&amp;(26/7+1),"")</f>
        <v/>
      </c>
      <c r="AK3" s="5">
        <f>IF(MOD(27,7)=0,"S"&amp;(27/7+1),"")</f>
        <v/>
      </c>
      <c r="AL3" s="5">
        <f>IF(MOD(28,7)=0,"S"&amp;(28/7+1),"")</f>
        <v/>
      </c>
      <c r="AM3" s="5">
        <f>IF(MOD(29,7)=0,"S"&amp;(29/7+1),"")</f>
        <v/>
      </c>
      <c r="AN3" s="5">
        <f>IF(MOD(30,7)=0,"S"&amp;(30/7+1),"")</f>
        <v/>
      </c>
      <c r="AO3" s="5">
        <f>IF(MOD(31,7)=0,"S"&amp;(31/7+1),"")</f>
        <v/>
      </c>
      <c r="AP3" s="5">
        <f>IF(MOD(32,7)=0,"S"&amp;(32/7+1),"")</f>
        <v/>
      </c>
      <c r="AQ3" s="5">
        <f>IF(MOD(33,7)=0,"S"&amp;(33/7+1),"")</f>
        <v/>
      </c>
      <c r="AR3" s="5">
        <f>IF(MOD(34,7)=0,"S"&amp;(34/7+1),"")</f>
        <v/>
      </c>
      <c r="AS3" s="5">
        <f>IF(MOD(35,7)=0,"S"&amp;(35/7+1),"")</f>
        <v/>
      </c>
      <c r="AT3" s="5">
        <f>IF(MOD(36,7)=0,"S"&amp;(36/7+1),"")</f>
        <v/>
      </c>
      <c r="AU3" s="5">
        <f>IF(MOD(37,7)=0,"S"&amp;(37/7+1),"")</f>
        <v/>
      </c>
      <c r="AV3" s="5">
        <f>IF(MOD(38,7)=0,"S"&amp;(38/7+1),"")</f>
        <v/>
      </c>
      <c r="AW3" s="5">
        <f>IF(MOD(39,7)=0,"S"&amp;(39/7+1),"")</f>
        <v/>
      </c>
      <c r="AX3" s="5">
        <f>IF(MOD(40,7)=0,"S"&amp;(40/7+1),"")</f>
        <v/>
      </c>
      <c r="AY3" s="5">
        <f>IF(MOD(41,7)=0,"S"&amp;(41/7+1),"")</f>
        <v/>
      </c>
      <c r="AZ3" s="5">
        <f>IF(MOD(42,7)=0,"S"&amp;(42/7+1),"")</f>
        <v/>
      </c>
      <c r="BA3" s="5">
        <f>IF(MOD(43,7)=0,"S"&amp;(43/7+1),"")</f>
        <v/>
      </c>
      <c r="BB3" s="5">
        <f>IF(MOD(44,7)=0,"S"&amp;(44/7+1),"")</f>
        <v/>
      </c>
      <c r="BC3" s="5">
        <f>IF(MOD(45,7)=0,"S"&amp;(45/7+1),"")</f>
        <v/>
      </c>
      <c r="BD3" s="5">
        <f>IF(MOD(46,7)=0,"S"&amp;(46/7+1),"")</f>
        <v/>
      </c>
      <c r="BE3" s="5">
        <f>IF(MOD(47,7)=0,"S"&amp;(47/7+1),"")</f>
        <v/>
      </c>
      <c r="BF3" s="5">
        <f>IF(MOD(48,7)=0,"S"&amp;(48/7+1),"")</f>
        <v/>
      </c>
      <c r="BG3" s="5">
        <f>IF(MOD(49,7)=0,"S"&amp;(49/7+1),"")</f>
        <v/>
      </c>
      <c r="BH3" s="5">
        <f>IF(MOD(50,7)=0,"S"&amp;(50/7+1),"")</f>
        <v/>
      </c>
      <c r="BI3" s="5">
        <f>IF(MOD(51,7)=0,"S"&amp;(51/7+1),"")</f>
        <v/>
      </c>
      <c r="BJ3" s="5">
        <f>IF(MOD(52,7)=0,"S"&amp;(52/7+1),"")</f>
        <v/>
      </c>
      <c r="BK3" s="5">
        <f>IF(MOD(53,7)=0,"S"&amp;(53/7+1),"")</f>
        <v/>
      </c>
      <c r="BL3" s="5">
        <f>IF(MOD(54,7)=0,"S"&amp;(54/7+1),"")</f>
        <v/>
      </c>
      <c r="BM3" s="5">
        <f>IF(MOD(55,7)=0,"S"&amp;(55/7+1),"")</f>
        <v/>
      </c>
      <c r="BN3" s="5">
        <f>IF(MOD(56,7)=0,"S"&amp;(56/7+1),"")</f>
        <v/>
      </c>
      <c r="BO3" s="5">
        <f>IF(MOD(57,7)=0,"S"&amp;(57/7+1),"")</f>
        <v/>
      </c>
      <c r="BP3" s="5">
        <f>IF(MOD(58,7)=0,"S"&amp;(58/7+1),"")</f>
        <v/>
      </c>
      <c r="BQ3" s="5">
        <f>IF(MOD(59,7)=0,"S"&amp;(59/7+1),"")</f>
        <v/>
      </c>
      <c r="BR3" s="5">
        <f>IF(MOD(60,7)=0,"S"&amp;(60/7+1),"")</f>
        <v/>
      </c>
      <c r="BS3" s="5">
        <f>IF(MOD(61,7)=0,"S"&amp;(61/7+1),"")</f>
        <v/>
      </c>
      <c r="BT3" s="5">
        <f>IF(MOD(62,7)=0,"S"&amp;(62/7+1),"")</f>
        <v/>
      </c>
      <c r="BU3" s="5">
        <f>IF(MOD(63,7)=0,"S"&amp;(63/7+1),"")</f>
        <v/>
      </c>
      <c r="BV3" s="5">
        <f>IF(MOD(64,7)=0,"S"&amp;(64/7+1),"")</f>
        <v/>
      </c>
      <c r="BW3" s="5">
        <f>IF(MOD(65,7)=0,"S"&amp;(65/7+1),"")</f>
        <v/>
      </c>
      <c r="BX3" s="5">
        <f>IF(MOD(66,7)=0,"S"&amp;(66/7+1),"")</f>
        <v/>
      </c>
      <c r="BY3" s="5">
        <f>IF(MOD(67,7)=0,"S"&amp;(67/7+1),"")</f>
        <v/>
      </c>
      <c r="BZ3" s="5">
        <f>IF(MOD(68,7)=0,"S"&amp;(68/7+1),"")</f>
        <v/>
      </c>
      <c r="CA3" s="5">
        <f>IF(MOD(69,7)=0,"S"&amp;(69/7+1),"")</f>
        <v/>
      </c>
    </row>
    <row r="4" ht="42" customHeight="1">
      <c r="A4" s="6" t="inlineStr">
        <is>
          <t>ID</t>
        </is>
      </c>
      <c r="B4" s="6" t="inlineStr">
        <is>
          <t>Actividad</t>
        </is>
      </c>
      <c r="C4" s="6" t="inlineStr">
        <is>
          <t>Responsable</t>
        </is>
      </c>
      <c r="D4" s="6" t="inlineStr">
        <is>
          <t>Sem. inicio</t>
        </is>
      </c>
      <c r="E4" s="6" t="inlineStr">
        <is>
          <t>Sem. fin</t>
        </is>
      </c>
      <c r="F4" s="6" t="inlineStr">
        <is>
          <t>Inicio</t>
        </is>
      </c>
      <c r="G4" s="6" t="inlineStr">
        <is>
          <t>Fin</t>
        </is>
      </c>
      <c r="H4" s="6" t="inlineStr">
        <is>
          <t>Días</t>
        </is>
      </c>
      <c r="I4" s="6" t="inlineStr">
        <is>
          <t>Estado</t>
        </is>
      </c>
      <c r="J4" s="24">
        <f>$C$2+0</f>
        <v/>
      </c>
      <c r="K4" s="24">
        <f>$C$2+1</f>
        <v/>
      </c>
      <c r="L4" s="24">
        <f>$C$2+2</f>
        <v/>
      </c>
      <c r="M4" s="24">
        <f>$C$2+3</f>
        <v/>
      </c>
      <c r="N4" s="24">
        <f>$C$2+4</f>
        <v/>
      </c>
      <c r="O4" s="24">
        <f>$C$2+5</f>
        <v/>
      </c>
      <c r="P4" s="24">
        <f>$C$2+6</f>
        <v/>
      </c>
      <c r="Q4" s="24">
        <f>$C$2+7</f>
        <v/>
      </c>
      <c r="R4" s="24">
        <f>$C$2+8</f>
        <v/>
      </c>
      <c r="S4" s="24">
        <f>$C$2+9</f>
        <v/>
      </c>
      <c r="T4" s="24">
        <f>$C$2+10</f>
        <v/>
      </c>
      <c r="U4" s="24">
        <f>$C$2+11</f>
        <v/>
      </c>
      <c r="V4" s="24">
        <f>$C$2+12</f>
        <v/>
      </c>
      <c r="W4" s="24">
        <f>$C$2+13</f>
        <v/>
      </c>
      <c r="X4" s="24">
        <f>$C$2+14</f>
        <v/>
      </c>
      <c r="Y4" s="24">
        <f>$C$2+15</f>
        <v/>
      </c>
      <c r="Z4" s="24">
        <f>$C$2+16</f>
        <v/>
      </c>
      <c r="AA4" s="24">
        <f>$C$2+17</f>
        <v/>
      </c>
      <c r="AB4" s="24">
        <f>$C$2+18</f>
        <v/>
      </c>
      <c r="AC4" s="24">
        <f>$C$2+19</f>
        <v/>
      </c>
      <c r="AD4" s="24">
        <f>$C$2+20</f>
        <v/>
      </c>
      <c r="AE4" s="24">
        <f>$C$2+21</f>
        <v/>
      </c>
      <c r="AF4" s="24">
        <f>$C$2+22</f>
        <v/>
      </c>
      <c r="AG4" s="24">
        <f>$C$2+23</f>
        <v/>
      </c>
      <c r="AH4" s="24">
        <f>$C$2+24</f>
        <v/>
      </c>
      <c r="AI4" s="24">
        <f>$C$2+25</f>
        <v/>
      </c>
      <c r="AJ4" s="24">
        <f>$C$2+26</f>
        <v/>
      </c>
      <c r="AK4" s="24">
        <f>$C$2+27</f>
        <v/>
      </c>
      <c r="AL4" s="24">
        <f>$C$2+28</f>
        <v/>
      </c>
      <c r="AM4" s="24">
        <f>$C$2+29</f>
        <v/>
      </c>
      <c r="AN4" s="24">
        <f>$C$2+30</f>
        <v/>
      </c>
      <c r="AO4" s="24">
        <f>$C$2+31</f>
        <v/>
      </c>
      <c r="AP4" s="24">
        <f>$C$2+32</f>
        <v/>
      </c>
      <c r="AQ4" s="24">
        <f>$C$2+33</f>
        <v/>
      </c>
      <c r="AR4" s="24">
        <f>$C$2+34</f>
        <v/>
      </c>
      <c r="AS4" s="24">
        <f>$C$2+35</f>
        <v/>
      </c>
      <c r="AT4" s="24">
        <f>$C$2+36</f>
        <v/>
      </c>
      <c r="AU4" s="24">
        <f>$C$2+37</f>
        <v/>
      </c>
      <c r="AV4" s="24">
        <f>$C$2+38</f>
        <v/>
      </c>
      <c r="AW4" s="24">
        <f>$C$2+39</f>
        <v/>
      </c>
      <c r="AX4" s="24">
        <f>$C$2+40</f>
        <v/>
      </c>
      <c r="AY4" s="24">
        <f>$C$2+41</f>
        <v/>
      </c>
      <c r="AZ4" s="24">
        <f>$C$2+42</f>
        <v/>
      </c>
      <c r="BA4" s="24">
        <f>$C$2+43</f>
        <v/>
      </c>
      <c r="BB4" s="24">
        <f>$C$2+44</f>
        <v/>
      </c>
      <c r="BC4" s="24">
        <f>$C$2+45</f>
        <v/>
      </c>
      <c r="BD4" s="24">
        <f>$C$2+46</f>
        <v/>
      </c>
      <c r="BE4" s="24">
        <f>$C$2+47</f>
        <v/>
      </c>
      <c r="BF4" s="24">
        <f>$C$2+48</f>
        <v/>
      </c>
      <c r="BG4" s="24">
        <f>$C$2+49</f>
        <v/>
      </c>
      <c r="BH4" s="24">
        <f>$C$2+50</f>
        <v/>
      </c>
      <c r="BI4" s="24">
        <f>$C$2+51</f>
        <v/>
      </c>
      <c r="BJ4" s="24">
        <f>$C$2+52</f>
        <v/>
      </c>
      <c r="BK4" s="24">
        <f>$C$2+53</f>
        <v/>
      </c>
      <c r="BL4" s="24">
        <f>$C$2+54</f>
        <v/>
      </c>
      <c r="BM4" s="24">
        <f>$C$2+55</f>
        <v/>
      </c>
      <c r="BN4" s="24">
        <f>$C$2+56</f>
        <v/>
      </c>
      <c r="BO4" s="24">
        <f>$C$2+57</f>
        <v/>
      </c>
      <c r="BP4" s="24">
        <f>$C$2+58</f>
        <v/>
      </c>
      <c r="BQ4" s="24">
        <f>$C$2+59</f>
        <v/>
      </c>
      <c r="BR4" s="24">
        <f>$C$2+60</f>
        <v/>
      </c>
      <c r="BS4" s="24">
        <f>$C$2+61</f>
        <v/>
      </c>
      <c r="BT4" s="24">
        <f>$C$2+62</f>
        <v/>
      </c>
      <c r="BU4" s="24">
        <f>$C$2+63</f>
        <v/>
      </c>
      <c r="BV4" s="24">
        <f>$C$2+64</f>
        <v/>
      </c>
      <c r="BW4" s="24">
        <f>$C$2+65</f>
        <v/>
      </c>
      <c r="BX4" s="24">
        <f>$C$2+66</f>
        <v/>
      </c>
      <c r="BY4" s="24">
        <f>$C$2+67</f>
        <v/>
      </c>
      <c r="BZ4" s="24">
        <f>$C$2+68</f>
        <v/>
      </c>
      <c r="CA4" s="24">
        <f>$C$2+69</f>
        <v/>
      </c>
    </row>
    <row r="5">
      <c r="A5" s="8" t="inlineStr">
        <is>
          <t>1</t>
        </is>
      </c>
      <c r="B5" s="9" t="inlineStr">
        <is>
          <t>Documentación y plan de pruebas</t>
        </is>
      </c>
      <c r="C5" s="9" t="inlineStr">
        <is>
          <t>Mikael Ramos y Kevin Zambrano</t>
        </is>
      </c>
      <c r="D5" s="8" t="n">
        <v>1</v>
      </c>
      <c r="E5" s="8" t="n">
        <v>1</v>
      </c>
      <c r="F5" s="25">
        <f>$C$2+7*(D5-1)</f>
        <v/>
      </c>
      <c r="G5" s="25">
        <f>$C$2+7*E5-1</f>
        <v/>
      </c>
      <c r="H5" s="8">
        <f>G5-F5+1</f>
        <v/>
      </c>
      <c r="I5" s="8" t="inlineStr">
        <is>
          <t>Pendiente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</row>
    <row r="6">
      <c r="A6" s="12" t="inlineStr">
        <is>
          <t>1.1</t>
        </is>
      </c>
      <c r="B6" s="13" t="inlineStr">
        <is>
          <t>Encuesta y análisis de resultados</t>
        </is>
      </c>
      <c r="C6" s="13" t="inlineStr">
        <is>
          <t>Mikael Ramos y Kevin Zambrano</t>
        </is>
      </c>
      <c r="D6" s="12" t="n">
        <v>1</v>
      </c>
      <c r="E6" s="12" t="n">
        <v>1</v>
      </c>
      <c r="F6" s="26">
        <f>$C$2+7*(D6-1)</f>
        <v/>
      </c>
      <c r="G6" s="26">
        <f>$C$2+7*E6-1</f>
        <v/>
      </c>
      <c r="H6" s="12">
        <f>G6-F6+1</f>
        <v/>
      </c>
      <c r="I6" s="12" t="inlineStr">
        <is>
          <t>Pendiente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</row>
    <row r="7">
      <c r="A7" s="12" t="inlineStr">
        <is>
          <t>1.2</t>
        </is>
      </c>
      <c r="B7" s="13" t="inlineStr">
        <is>
          <t>ERS (IEEE 830) y casos de uso</t>
        </is>
      </c>
      <c r="C7" s="13" t="inlineStr">
        <is>
          <t>Mikael Ramos y Kevin Zambrano</t>
        </is>
      </c>
      <c r="D7" s="12" t="n">
        <v>1</v>
      </c>
      <c r="E7" s="12" t="n">
        <v>1</v>
      </c>
      <c r="F7" s="26">
        <f>$C$2+7*(D7-1)</f>
        <v/>
      </c>
      <c r="G7" s="26">
        <f>$C$2+7*E7-1</f>
        <v/>
      </c>
      <c r="H7" s="12">
        <f>G7-F7+1</f>
        <v/>
      </c>
      <c r="I7" s="12" t="inlineStr">
        <is>
          <t>Pendiente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</row>
    <row r="8">
      <c r="A8" s="12" t="inlineStr">
        <is>
          <t>1.3</t>
        </is>
      </c>
      <c r="B8" s="13" t="inlineStr">
        <is>
          <t>Diagramas UML, DFD, MER y arquitectura</t>
        </is>
      </c>
      <c r="C8" s="13" t="inlineStr">
        <is>
          <t>Mikael Ramos y Kevin Zambrano</t>
        </is>
      </c>
      <c r="D8" s="12" t="n">
        <v>1</v>
      </c>
      <c r="E8" s="12" t="n">
        <v>1</v>
      </c>
      <c r="F8" s="26">
        <f>$C$2+7*(D8-1)</f>
        <v/>
      </c>
      <c r="G8" s="26">
        <f>$C$2+7*E8-1</f>
        <v/>
      </c>
      <c r="H8" s="12">
        <f>G8-F8+1</f>
        <v/>
      </c>
      <c r="I8" s="12" t="inlineStr">
        <is>
          <t>Pendiente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</row>
    <row r="9">
      <c r="A9" s="12" t="inlineStr">
        <is>
          <t>1.4</t>
        </is>
      </c>
      <c r="B9" s="13" t="inlineStr">
        <is>
          <t>Plan de pruebas y matriz de trazabilidad</t>
        </is>
      </c>
      <c r="C9" s="13" t="inlineStr">
        <is>
          <t>Kevin Zambrano</t>
        </is>
      </c>
      <c r="D9" s="12" t="n">
        <v>1</v>
      </c>
      <c r="E9" s="12" t="n">
        <v>1</v>
      </c>
      <c r="F9" s="26">
        <f>$C$2+7*(D9-1)</f>
        <v/>
      </c>
      <c r="G9" s="26">
        <f>$C$2+7*E9-1</f>
        <v/>
      </c>
      <c r="H9" s="12">
        <f>G9-F9+1</f>
        <v/>
      </c>
      <c r="I9" s="12" t="inlineStr">
        <is>
          <t>Pendiente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</row>
    <row r="10">
      <c r="A10" s="12" t="inlineStr">
        <is>
          <t>1.5</t>
        </is>
      </c>
      <c r="B10" s="13" t="inlineStr">
        <is>
          <t>Revisión formal y entrega del avance al profesor (30/10/2026)</t>
        </is>
      </c>
      <c r="C10" s="13" t="inlineStr">
        <is>
          <t>Mikael Ramos y Kevin Zambrano</t>
        </is>
      </c>
      <c r="D10" s="12" t="n">
        <v>1</v>
      </c>
      <c r="E10" s="12" t="n">
        <v>1</v>
      </c>
      <c r="F10" s="26">
        <f>$C$2+7*(D10-1)</f>
        <v/>
      </c>
      <c r="G10" s="26">
        <f>$C$2+7*E10-1</f>
        <v/>
      </c>
      <c r="H10" s="12">
        <f>G10-F10+1</f>
        <v/>
      </c>
      <c r="I10" s="12" t="inlineStr">
        <is>
          <t>Pendiente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</row>
    <row r="11">
      <c r="A11" s="8" t="inlineStr">
        <is>
          <t>2</t>
        </is>
      </c>
      <c r="B11" s="9" t="inlineStr">
        <is>
          <t>Diseño técnico y entorno</t>
        </is>
      </c>
      <c r="C11" s="9" t="inlineStr">
        <is>
          <t>Mikael Ramos</t>
        </is>
      </c>
      <c r="D11" s="8" t="n">
        <v>2</v>
      </c>
      <c r="E11" s="8" t="n">
        <v>3</v>
      </c>
      <c r="F11" s="25">
        <f>$C$2+7*(D11-1)</f>
        <v/>
      </c>
      <c r="G11" s="25">
        <f>$C$2+7*E11-1</f>
        <v/>
      </c>
      <c r="H11" s="8">
        <f>G11-F11+1</f>
        <v/>
      </c>
      <c r="I11" s="8" t="inlineStr">
        <is>
          <t>Pendiente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</row>
    <row r="12">
      <c r="A12" s="12" t="inlineStr">
        <is>
          <t>2.1</t>
        </is>
      </c>
      <c r="B12" s="13" t="inlineStr">
        <is>
          <t>Esquema de base de datos MariaDB y API</t>
        </is>
      </c>
      <c r="C12" s="13" t="inlineStr">
        <is>
          <t>Mikael Ramos</t>
        </is>
      </c>
      <c r="D12" s="12" t="n">
        <v>2</v>
      </c>
      <c r="E12" s="12" t="n">
        <v>3</v>
      </c>
      <c r="F12" s="26">
        <f>$C$2+7*(D12-1)</f>
        <v/>
      </c>
      <c r="G12" s="26">
        <f>$C$2+7*E12-1</f>
        <v/>
      </c>
      <c r="H12" s="12">
        <f>G12-F12+1</f>
        <v/>
      </c>
      <c r="I12" s="12" t="inlineStr">
        <is>
          <t>Pendiente</t>
        </is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</row>
    <row r="13">
      <c r="A13" s="12" t="inlineStr">
        <is>
          <t>2.2</t>
        </is>
      </c>
      <c r="B13" s="13" t="inlineStr">
        <is>
          <t>Repositorio, PWA base y pruebas automáticas</t>
        </is>
      </c>
      <c r="C13" s="13" t="inlineStr">
        <is>
          <t>Kevin Zambrano</t>
        </is>
      </c>
      <c r="D13" s="12" t="n">
        <v>2</v>
      </c>
      <c r="E13" s="12" t="n">
        <v>3</v>
      </c>
      <c r="F13" s="26">
        <f>$C$2+7*(D13-1)</f>
        <v/>
      </c>
      <c r="G13" s="26">
        <f>$C$2+7*E13-1</f>
        <v/>
      </c>
      <c r="H13" s="12">
        <f>G13-F13+1</f>
        <v/>
      </c>
      <c r="I13" s="12" t="inlineStr">
        <is>
          <t>Pendiente</t>
        </is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</row>
    <row r="14">
      <c r="A14" s="8" t="inlineStr">
        <is>
          <t>3</t>
        </is>
      </c>
      <c r="B14" s="9" t="inlineStr">
        <is>
          <t>Incremento 1: cuentas y acceso</t>
        </is>
      </c>
      <c r="C14" s="9" t="inlineStr">
        <is>
          <t>Mikael Ramos</t>
        </is>
      </c>
      <c r="D14" s="8" t="n">
        <v>4</v>
      </c>
      <c r="E14" s="8" t="n">
        <v>5</v>
      </c>
      <c r="F14" s="25">
        <f>$C$2+7*(D14-1)</f>
        <v/>
      </c>
      <c r="G14" s="25">
        <f>$C$2+7*E14-1</f>
        <v/>
      </c>
      <c r="H14" s="8">
        <f>G14-F14+1</f>
        <v/>
      </c>
      <c r="I14" s="8" t="inlineStr">
        <is>
          <t>Pendiente</t>
        </is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</row>
    <row r="15">
      <c r="A15" s="12" t="inlineStr">
        <is>
          <t>3.1</t>
        </is>
      </c>
      <c r="B15" s="13" t="inlineStr">
        <is>
          <t>RF-01 y RF-02: registro y verificación por código</t>
        </is>
      </c>
      <c r="C15" s="13" t="inlineStr">
        <is>
          <t>Mikael Ramos</t>
        </is>
      </c>
      <c r="D15" s="12" t="n">
        <v>4</v>
      </c>
      <c r="E15" s="12" t="n">
        <v>4</v>
      </c>
      <c r="F15" s="26">
        <f>$C$2+7*(D15-1)</f>
        <v/>
      </c>
      <c r="G15" s="26">
        <f>$C$2+7*E15-1</f>
        <v/>
      </c>
      <c r="H15" s="12">
        <f>G15-F15+1</f>
        <v/>
      </c>
      <c r="I15" s="12" t="inlineStr">
        <is>
          <t>Pendiente</t>
        </is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</row>
    <row r="16">
      <c r="A16" s="12" t="inlineStr">
        <is>
          <t>3.2</t>
        </is>
      </c>
      <c r="B16" s="13" t="inlineStr">
        <is>
          <t>RF-03, RF-04 y RF-07: ingreso, sesión y perfil</t>
        </is>
      </c>
      <c r="C16" s="13" t="inlineStr">
        <is>
          <t>Mikael Ramos</t>
        </is>
      </c>
      <c r="D16" s="12" t="n">
        <v>4</v>
      </c>
      <c r="E16" s="12" t="n">
        <v>5</v>
      </c>
      <c r="F16" s="26">
        <f>$C$2+7*(D16-1)</f>
        <v/>
      </c>
      <c r="G16" s="26">
        <f>$C$2+7*E16-1</f>
        <v/>
      </c>
      <c r="H16" s="12">
        <f>G16-F16+1</f>
        <v/>
      </c>
      <c r="I16" s="12" t="inlineStr">
        <is>
          <t>Pendiente</t>
        </is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</row>
    <row r="17">
      <c r="A17" s="12" t="inlineStr">
        <is>
          <t>3.3</t>
        </is>
      </c>
      <c r="B17" s="13" t="inlineStr">
        <is>
          <t>Pruebas del incremento 1</t>
        </is>
      </c>
      <c r="C17" s="13" t="inlineStr">
        <is>
          <t>Kevin Zambrano</t>
        </is>
      </c>
      <c r="D17" s="12" t="n">
        <v>5</v>
      </c>
      <c r="E17" s="12" t="n">
        <v>5</v>
      </c>
      <c r="F17" s="26">
        <f>$C$2+7*(D17-1)</f>
        <v/>
      </c>
      <c r="G17" s="26">
        <f>$C$2+7*E17-1</f>
        <v/>
      </c>
      <c r="H17" s="12">
        <f>G17-F17+1</f>
        <v/>
      </c>
      <c r="I17" s="12" t="inlineStr">
        <is>
          <t>Pendiente</t>
        </is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</row>
    <row r="18">
      <c r="A18" s="8" t="inlineStr">
        <is>
          <t>4</t>
        </is>
      </c>
      <c r="B18" s="9" t="inlineStr">
        <is>
          <t>Incremento 2: finca, ciclo y densidad</t>
        </is>
      </c>
      <c r="C18" s="9" t="inlineStr">
        <is>
          <t>Kevin Zambrano</t>
        </is>
      </c>
      <c r="D18" s="8" t="n">
        <v>6</v>
      </c>
      <c r="E18" s="8" t="n">
        <v>7</v>
      </c>
      <c r="F18" s="25">
        <f>$C$2+7*(D18-1)</f>
        <v/>
      </c>
      <c r="G18" s="25">
        <f>$C$2+7*E18-1</f>
        <v/>
      </c>
      <c r="H18" s="8">
        <f>G18-F18+1</f>
        <v/>
      </c>
      <c r="I18" s="8" t="inlineStr">
        <is>
          <t>Pendiente</t>
        </is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</row>
    <row r="19">
      <c r="A19" s="12" t="inlineStr">
        <is>
          <t>4.1</t>
        </is>
      </c>
      <c r="B19" s="13" t="inlineStr">
        <is>
          <t>RF-12 a RF-15: finca y ciclo</t>
        </is>
      </c>
      <c r="C19" s="13" t="inlineStr">
        <is>
          <t>Kevin Zambrano</t>
        </is>
      </c>
      <c r="D19" s="12" t="n">
        <v>6</v>
      </c>
      <c r="E19" s="12" t="n">
        <v>7</v>
      </c>
      <c r="F19" s="26">
        <f>$C$2+7*(D19-1)</f>
        <v/>
      </c>
      <c r="G19" s="26">
        <f>$C$2+7*E19-1</f>
        <v/>
      </c>
      <c r="H19" s="12">
        <f>G19-F19+1</f>
        <v/>
      </c>
      <c r="I19" s="12" t="inlineStr">
        <is>
          <t>Pendiente</t>
        </is>
      </c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</row>
    <row r="20">
      <c r="A20" s="12" t="inlineStr">
        <is>
          <t>4.2</t>
        </is>
      </c>
      <c r="B20" s="13" t="inlineStr">
        <is>
          <t>RF-17, RF-18 y RF-37: densidad y catálogo</t>
        </is>
      </c>
      <c r="C20" s="13" t="inlineStr">
        <is>
          <t>Mikael Ramos</t>
        </is>
      </c>
      <c r="D20" s="12" t="n">
        <v>6</v>
      </c>
      <c r="E20" s="12" t="n">
        <v>7</v>
      </c>
      <c r="F20" s="26">
        <f>$C$2+7*(D20-1)</f>
        <v/>
      </c>
      <c r="G20" s="26">
        <f>$C$2+7*E20-1</f>
        <v/>
      </c>
      <c r="H20" s="12">
        <f>G20-F20+1</f>
        <v/>
      </c>
      <c r="I20" s="12" t="inlineStr">
        <is>
          <t>Pendiente</t>
        </is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</row>
    <row r="21">
      <c r="A21" s="12" t="inlineStr">
        <is>
          <t>4.3</t>
        </is>
      </c>
      <c r="B21" s="13" t="inlineStr">
        <is>
          <t>Pruebas del incremento 2</t>
        </is>
      </c>
      <c r="C21" s="13" t="inlineStr">
        <is>
          <t>Kevin Zambrano</t>
        </is>
      </c>
      <c r="D21" s="12" t="n">
        <v>7</v>
      </c>
      <c r="E21" s="12" t="n">
        <v>7</v>
      </c>
      <c r="F21" s="26">
        <f>$C$2+7*(D21-1)</f>
        <v/>
      </c>
      <c r="G21" s="26">
        <f>$C$2+7*E21-1</f>
        <v/>
      </c>
      <c r="H21" s="12">
        <f>G21-F21+1</f>
        <v/>
      </c>
      <c r="I21" s="12" t="inlineStr">
        <is>
          <t>Pendiente</t>
        </is>
      </c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</row>
    <row r="22">
      <c r="A22" s="8" t="inlineStr">
        <is>
          <t>5</t>
        </is>
      </c>
      <c r="B22" s="9" t="inlineStr">
        <is>
          <t>Incremento 3: finanzas y modo sin conexión</t>
        </is>
      </c>
      <c r="C22" s="9" t="inlineStr">
        <is>
          <t>Kevin Zambrano</t>
        </is>
      </c>
      <c r="D22" s="8" t="n">
        <v>8</v>
      </c>
      <c r="E22" s="8" t="n">
        <v>9</v>
      </c>
      <c r="F22" s="25">
        <f>$C$2+7*(D22-1)</f>
        <v/>
      </c>
      <c r="G22" s="25">
        <f>$C$2+7*E22-1</f>
        <v/>
      </c>
      <c r="H22" s="8">
        <f>G22-F22+1</f>
        <v/>
      </c>
      <c r="I22" s="8" t="inlineStr">
        <is>
          <t>Pendiente</t>
        </is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</row>
    <row r="23">
      <c r="A23" s="12" t="inlineStr">
        <is>
          <t>5.1</t>
        </is>
      </c>
      <c r="B23" s="13" t="inlineStr">
        <is>
          <t>RF-23 a RF-25: gastos, ingresos y utilidad</t>
        </is>
      </c>
      <c r="C23" s="13" t="inlineStr">
        <is>
          <t>Kevin Zambrano</t>
        </is>
      </c>
      <c r="D23" s="12" t="n">
        <v>8</v>
      </c>
      <c r="E23" s="12" t="n">
        <v>9</v>
      </c>
      <c r="F23" s="26">
        <f>$C$2+7*(D23-1)</f>
        <v/>
      </c>
      <c r="G23" s="26">
        <f>$C$2+7*E23-1</f>
        <v/>
      </c>
      <c r="H23" s="12">
        <f>G23-F23+1</f>
        <v/>
      </c>
      <c r="I23" s="12" t="inlineStr">
        <is>
          <t>Pendiente</t>
        </is>
      </c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</row>
    <row r="24">
      <c r="A24" s="12" t="inlineStr">
        <is>
          <t>5.2</t>
        </is>
      </c>
      <c r="B24" s="13" t="inlineStr">
        <is>
          <t>RF-27, RF-28, RF-35 y RF-36: sin conexión y sincronización</t>
        </is>
      </c>
      <c r="C24" s="13" t="inlineStr">
        <is>
          <t>Mikael Ramos</t>
        </is>
      </c>
      <c r="D24" s="12" t="n">
        <v>8</v>
      </c>
      <c r="E24" s="12" t="n">
        <v>9</v>
      </c>
      <c r="F24" s="26">
        <f>$C$2+7*(D24-1)</f>
        <v/>
      </c>
      <c r="G24" s="26">
        <f>$C$2+7*E24-1</f>
        <v/>
      </c>
      <c r="H24" s="12">
        <f>G24-F24+1</f>
        <v/>
      </c>
      <c r="I24" s="12" t="inlineStr">
        <is>
          <t>Pendiente</t>
        </is>
      </c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</row>
    <row r="25">
      <c r="A25" s="12" t="inlineStr">
        <is>
          <t>5.3</t>
        </is>
      </c>
      <c r="B25" s="13" t="inlineStr">
        <is>
          <t>Pruebas del incremento 3</t>
        </is>
      </c>
      <c r="C25" s="13" t="inlineStr">
        <is>
          <t>Kevin Zambrano</t>
        </is>
      </c>
      <c r="D25" s="12" t="n">
        <v>9</v>
      </c>
      <c r="E25" s="12" t="n">
        <v>9</v>
      </c>
      <c r="F25" s="26">
        <f>$C$2+7*(D25-1)</f>
        <v/>
      </c>
      <c r="G25" s="26">
        <f>$C$2+7*E25-1</f>
        <v/>
      </c>
      <c r="H25" s="12">
        <f>G25-F25+1</f>
        <v/>
      </c>
      <c r="I25" s="12" t="inlineStr">
        <is>
          <t>Pendiente</t>
        </is>
      </c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</row>
    <row r="26">
      <c r="A26" s="8" t="inlineStr">
        <is>
          <t>6</t>
        </is>
      </c>
      <c r="B26" s="9" t="inlineStr">
        <is>
          <t>Pruebas finales y despliegue</t>
        </is>
      </c>
      <c r="C26" s="9" t="inlineStr">
        <is>
          <t>Mikael Ramos y Kevin Zambrano</t>
        </is>
      </c>
      <c r="D26" s="8" t="n">
        <v>10</v>
      </c>
      <c r="E26" s="8" t="n">
        <v>10</v>
      </c>
      <c r="F26" s="25">
        <f>$C$2+7*(D26-1)</f>
        <v/>
      </c>
      <c r="G26" s="25">
        <f>$C$2+7*E26-1</f>
        <v/>
      </c>
      <c r="H26" s="8">
        <f>G26-F26+1</f>
        <v/>
      </c>
      <c r="I26" s="8" t="inlineStr">
        <is>
          <t>Pendiente</t>
        </is>
      </c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</row>
    <row r="27">
      <c r="A27" s="12" t="inlineStr">
        <is>
          <t>6.1</t>
        </is>
      </c>
      <c r="B27" s="13" t="inlineStr">
        <is>
          <t>Ejecución del plan de pruebas (229 casos)</t>
        </is>
      </c>
      <c r="C27" s="13" t="inlineStr">
        <is>
          <t>Mikael Ramos y Kevin Zambrano</t>
        </is>
      </c>
      <c r="D27" s="12" t="n">
        <v>10</v>
      </c>
      <c r="E27" s="12" t="n">
        <v>10</v>
      </c>
      <c r="F27" s="26">
        <f>$C$2+7*(D27-1)</f>
        <v/>
      </c>
      <c r="G27" s="26">
        <f>$C$2+7*E27-1</f>
        <v/>
      </c>
      <c r="H27" s="12">
        <f>G27-F27+1</f>
        <v/>
      </c>
      <c r="I27" s="12" t="inlineStr">
        <is>
          <t>Pendiente</t>
        </is>
      </c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</row>
    <row r="28">
      <c r="A28" s="12" t="inlineStr">
        <is>
          <t>6.2</t>
        </is>
      </c>
      <c r="B28" s="13" t="inlineStr">
        <is>
          <t>Prueba de humo, despliegue y entrega</t>
        </is>
      </c>
      <c r="C28" s="13" t="inlineStr">
        <is>
          <t>Mikael Ramos y Kevin Zambrano</t>
        </is>
      </c>
      <c r="D28" s="12" t="n">
        <v>10</v>
      </c>
      <c r="E28" s="12" t="n">
        <v>10</v>
      </c>
      <c r="F28" s="26">
        <f>$C$2+7*(D28-1)</f>
        <v/>
      </c>
      <c r="G28" s="26">
        <f>$C$2+7*E28-1</f>
        <v/>
      </c>
      <c r="H28" s="12">
        <f>G28-F28+1</f>
        <v/>
      </c>
      <c r="I28" s="12" t="inlineStr">
        <is>
          <t>Pendiente</t>
        </is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</row>
    <row r="30">
      <c r="B30" s="15" t="inlineStr">
        <is>
          <t>Leyenda de fases</t>
        </is>
      </c>
    </row>
    <row r="31">
      <c r="A31" s="16" t="n">
        <v>1</v>
      </c>
      <c r="B31" s="17" t="inlineStr">
        <is>
          <t>Documentación y plan de pruebas</t>
        </is>
      </c>
    </row>
    <row r="32">
      <c r="A32" s="18" t="n">
        <v>2</v>
      </c>
      <c r="B32" s="17" t="inlineStr">
        <is>
          <t>Diseño técnico y entorno</t>
        </is>
      </c>
    </row>
    <row r="33">
      <c r="A33" s="19" t="n">
        <v>3</v>
      </c>
      <c r="B33" s="17" t="inlineStr">
        <is>
          <t>Incremento 1: cuentas y acceso</t>
        </is>
      </c>
    </row>
    <row r="34">
      <c r="A34" s="20" t="n">
        <v>4</v>
      </c>
      <c r="B34" s="17" t="inlineStr">
        <is>
          <t>Incremento 2: finca, ciclo y densidad</t>
        </is>
      </c>
    </row>
    <row r="35">
      <c r="A35" s="21" t="n">
        <v>5</v>
      </c>
      <c r="B35" s="17" t="inlineStr">
        <is>
          <t>Incremento 3: finanzas y modo sin conexión</t>
        </is>
      </c>
    </row>
    <row r="36">
      <c r="A36" s="22" t="n">
        <v>6</v>
      </c>
      <c r="B36" s="17" t="inlineStr">
        <is>
          <t>Pruebas finales y despliegue</t>
        </is>
      </c>
    </row>
    <row r="38">
      <c r="B38" s="4" t="inlineStr">
        <is>
          <t>Estado: Pendiente, En curso o Terminada (se actualiza a mano).</t>
        </is>
      </c>
    </row>
  </sheetData>
  <conditionalFormatting sqref="J5:CA28">
    <cfRule type="expression" priority="1" dxfId="0" stopIfTrue="0">
      <formula>AND(J$4&gt;=$F5,J$4&lt;=$G5,VALUE(LEFT($A5,1))=1)</formula>
    </cfRule>
    <cfRule type="expression" priority="2" dxfId="1" stopIfTrue="0">
      <formula>AND(J$4&gt;=$F5,J$4&lt;=$G5,VALUE(LEFT($A5,1))=2)</formula>
    </cfRule>
    <cfRule type="expression" priority="3" dxfId="2" stopIfTrue="0">
      <formula>AND(J$4&gt;=$F5,J$4&lt;=$G5,VALUE(LEFT($A5,1))=3)</formula>
    </cfRule>
    <cfRule type="expression" priority="4" dxfId="3" stopIfTrue="0">
      <formula>AND(J$4&gt;=$F5,J$4&lt;=$G5,VALUE(LEFT($A5,1))=4)</formula>
    </cfRule>
    <cfRule type="expression" priority="5" dxfId="4" stopIfTrue="0">
      <formula>AND(J$4&gt;=$F5,J$4&lt;=$G5,VALUE(LEFT($A5,1))=5)</formula>
    </cfRule>
    <cfRule type="expression" priority="6" dxfId="5" stopIfTrue="0">
      <formula>AND(J$4&gt;=$F5,J$4&lt;=$G5,VALUE(LEFT($A5,1))=6)</formula>
    </cfRule>
  </conditionalFormatting>
  <dataValidations count="1">
    <dataValidation sqref="I5:I28" showDropDown="0" showInputMessage="0" showErrorMessage="0" allowBlank="0" type="list">
      <formula1>"Pendiente,En curso,Terminada"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2026-10-27T14:20:44Z</dcterms:created>
  <dcterms:modified xmlns:dcterms="http://purl.org/dc/terms/" xmlns:xsi="http://www.w3.org/2001/XMLSchema-instance" xsi:type="dcterms:W3CDTF">2026-10-28T03:40:20Z</dcterms:modified>
</cp:coreProperties>
</file>