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<sst xmlns="http://schemas.openxmlformats.org/spreadsheetml/2006/main" count="116" uniqueCount="66">
  <si>
    <t xml:space="preserve">Cronograma del proyecto Sembrando Futuro</t>
  </si>
  <si>
    <t xml:space="preserve">Fecha de inicio (lunes de la semana 1):</t>
  </si>
  <si>
    <t xml:space="preserve">Cambie esta fecha y todas las fechas y barras se recalculan.</t>
  </si>
  <si>
    <t xml:space="preserve">ID</t>
  </si>
  <si>
    <t xml:space="preserve">Actividad</t>
  </si>
  <si>
    <t xml:space="preserve">Responsable</t>
  </si>
  <si>
    <t xml:space="preserve">Sem. inicio</t>
  </si>
  <si>
    <t xml:space="preserve">Sem. fin</t>
  </si>
  <si>
    <t xml:space="preserve">Inicio</t>
  </si>
  <si>
    <t xml:space="preserve">Fin</t>
  </si>
  <si>
    <t xml:space="preserve">Días</t>
  </si>
  <si>
    <t xml:space="preserve">Estado</t>
  </si>
  <si>
    <t xml:space="preserve">1</t>
  </si>
  <si>
    <t xml:space="preserve">Documentación y plan de pruebas</t>
  </si>
  <si>
    <t xml:space="preserve">Mikael Ramos y Kevin Zambrano</t>
  </si>
  <si>
    <t xml:space="preserve">Pendiente</t>
  </si>
  <si>
    <t xml:space="preserve">1.1</t>
  </si>
  <si>
    <t xml:space="preserve">Encuesta y análisis de resultados</t>
  </si>
  <si>
    <t xml:space="preserve">1.2</t>
  </si>
  <si>
    <t xml:space="preserve">ERS (IEEE 830) y casos de uso</t>
  </si>
  <si>
    <t xml:space="preserve">1.3</t>
  </si>
  <si>
    <t xml:space="preserve">Diagramas UML, DFD, MER y arquitectura</t>
  </si>
  <si>
    <t xml:space="preserve">1.4</t>
  </si>
  <si>
    <t xml:space="preserve">Plan de pruebas y matriz de trazabilidad</t>
  </si>
  <si>
    <t xml:space="preserve">Kevin Zambrano</t>
  </si>
  <si>
    <t xml:space="preserve">1.5</t>
  </si>
  <si>
    <t xml:space="preserve">Revisión formal y entrega del avance al profesor (30/10/2026)</t>
  </si>
  <si>
    <t xml:space="preserve">2</t>
  </si>
  <si>
    <t xml:space="preserve">Diseño técnico y entorno</t>
  </si>
  <si>
    <t xml:space="preserve">Mikael Ramos</t>
  </si>
  <si>
    <t xml:space="preserve">2.1</t>
  </si>
  <si>
    <t xml:space="preserve">Esquema de base de datos MySQL y API</t>
  </si>
  <si>
    <t xml:space="preserve">2.2</t>
  </si>
  <si>
    <t xml:space="preserve">Repositorio, PWA base y pruebas automáticas</t>
  </si>
  <si>
    <t xml:space="preserve">3</t>
  </si>
  <si>
    <t xml:space="preserve">Incremento 1: cuentas y acceso</t>
  </si>
  <si>
    <t xml:space="preserve">3.1</t>
  </si>
  <si>
    <t xml:space="preserve">RF-01 y RF-02: registro y verificación por código</t>
  </si>
  <si>
    <t xml:space="preserve">3.2</t>
  </si>
  <si>
    <t xml:space="preserve">RF-03, RF-04 y RF-07: ingreso, sesión y perfil</t>
  </si>
  <si>
    <t xml:space="preserve">3.3</t>
  </si>
  <si>
    <t xml:space="preserve">Pruebas del incremento 1</t>
  </si>
  <si>
    <t xml:space="preserve">4</t>
  </si>
  <si>
    <t xml:space="preserve">Incremento 2: finca, ciclo y densidad</t>
  </si>
  <si>
    <t xml:space="preserve">4.1</t>
  </si>
  <si>
    <t xml:space="preserve">RF-12 a RF-15: finca y ciclo</t>
  </si>
  <si>
    <t xml:space="preserve">4.2</t>
  </si>
  <si>
    <t xml:space="preserve">RF-17, RF-18 y RF-37: densidad y catálogo</t>
  </si>
  <si>
    <t xml:space="preserve">4.3</t>
  </si>
  <si>
    <t xml:space="preserve">Pruebas del incremento 2</t>
  </si>
  <si>
    <t xml:space="preserve">5</t>
  </si>
  <si>
    <t xml:space="preserve">Incremento 3: finanzas y modo sin conexión</t>
  </si>
  <si>
    <t xml:space="preserve">5.1</t>
  </si>
  <si>
    <t xml:space="preserve">RF-23 a RF-25: gastos, ingresos y utilidad</t>
  </si>
  <si>
    <t xml:space="preserve">5.2</t>
  </si>
  <si>
    <t xml:space="preserve">RF-27, RF-28, RF-35 y RF-36: sin conexión y sincronización</t>
  </si>
  <si>
    <t xml:space="preserve">5.3</t>
  </si>
  <si>
    <t xml:space="preserve">Pruebas del incremento 3</t>
  </si>
  <si>
    <t xml:space="preserve">6</t>
  </si>
  <si>
    <t xml:space="preserve">Pruebas finales y despliegue</t>
  </si>
  <si>
    <t xml:space="preserve">6.1</t>
  </si>
  <si>
    <t xml:space="preserve">Ejecución del plan de pruebas (235 casos)</t>
  </si>
  <si>
    <t xml:space="preserve">6.2</t>
  </si>
  <si>
    <t xml:space="preserve">Prueba de humo, despliegue y entrega</t>
  </si>
  <si>
    <t xml:space="preserve">Leyenda de fases</t>
  </si>
  <si>
    <t xml:space="preserve">Estado: Pendiente, En curso o Terminada (se actualiza a mano).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</si>
</sst>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0"/>
      <name val="Arial"/>
      <family val="0"/>
      <charset val="1"/>
    </font>
    <font>
      <sz val="7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7F7F7F"/>
        <bgColor rgb="FF96969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C55A11"/>
      </patternFill>
    </fill>
    <fill>
      <patternFill patternType="solid">
        <fgColor rgb="FFC55A11"/>
        <bgColor rgb="FF993300"/>
      </patternFill>
    </fill>
    <fill>
      <patternFill patternType="solid">
        <fgColor rgb="FF7030A0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7F7F7F"/>
        </patternFill>
      </fill>
    </dxf>
    <dxf>
      <fill>
        <patternFill>
          <bgColor rgb="FF2E75B6"/>
        </patternFill>
      </fill>
    </dxf>
    <dxf>
      <fill>
        <patternFill>
          <bgColor rgb="FF548235"/>
        </patternFill>
      </fill>
    </dxf>
    <dxf>
      <fill>
        <patternFill>
          <bgColor rgb="FFBF8F00"/>
        </patternFill>
      </fill>
    </dxf>
    <dxf>
      <fill>
        <patternFill>
          <bgColor rgb="FFC55A11"/>
        </patternFill>
      </fill>
    </dxf>
    <dxf>
      <fill>
        <patternFill>
          <bgColor rgb="FF7030A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7F7F7F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A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J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7" min="6" style="1" width="12"/>
    <col collapsed="false" customWidth="true" hidden="false" outlineLevel="0" max="8" min="8" style="1" width="7"/>
    <col collapsed="false" customWidth="true" hidden="false" outlineLevel="0" max="9" min="9" style="1" width="12"/>
    <col collapsed="false" customWidth="true" hidden="false" outlineLevel="0" max="79" min="10" style="1" width="2.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B2" s="3" t="s">
        <v>1</v>
      </c>
      <c r="C2" s="4" t="n">
        <v>46321</v>
      </c>
      <c r="D2" s="5" t="s">
        <v>2</v>
      </c>
    </row>
    <row r="3" customFormat="false" ht="15" hidden="false" customHeight="true" outlineLevel="0" collapsed="false">
      <c r="J3" s="6" t="str">
        <f aca="false">IF(MOD(0,7)=0,"S"&amp;(0/7+1),"")</f>
        <v>S1</v>
      </c>
      <c r="K3" s="6" t="str">
        <f aca="false">IF(MOD(1,7)=0,"S"&amp;(1/7+1),"")</f>
        <v/>
      </c>
      <c r="L3" s="6" t="str">
        <f aca="false">IF(MOD(2,7)=0,"S"&amp;(2/7+1),"")</f>
        <v/>
      </c>
      <c r="M3" s="6" t="str">
        <f aca="false">IF(MOD(3,7)=0,"S"&amp;(3/7+1),"")</f>
        <v/>
      </c>
      <c r="N3" s="6" t="str">
        <f aca="false">IF(MOD(4,7)=0,"S"&amp;(4/7+1),"")</f>
        <v/>
      </c>
      <c r="O3" s="6" t="str">
        <f aca="false">IF(MOD(5,7)=0,"S"&amp;(5/7+1),"")</f>
        <v/>
      </c>
      <c r="P3" s="6" t="str">
        <f aca="false">IF(MOD(6,7)=0,"S"&amp;(6/7+1),"")</f>
        <v/>
      </c>
      <c r="Q3" s="6" t="str">
        <f aca="false">IF(MOD(7,7)=0,"S"&amp;(7/7+1),"")</f>
        <v>S2</v>
      </c>
      <c r="R3" s="6" t="str">
        <f aca="false">IF(MOD(8,7)=0,"S"&amp;(8/7+1),"")</f>
        <v/>
      </c>
      <c r="S3" s="6" t="str">
        <f aca="false">IF(MOD(9,7)=0,"S"&amp;(9/7+1),"")</f>
        <v/>
      </c>
      <c r="T3" s="6" t="str">
        <f aca="false">IF(MOD(10,7)=0,"S"&amp;(10/7+1),"")</f>
        <v/>
      </c>
      <c r="U3" s="6" t="str">
        <f aca="false">IF(MOD(11,7)=0,"S"&amp;(11/7+1),"")</f>
        <v/>
      </c>
      <c r="V3" s="6" t="str">
        <f aca="false">IF(MOD(12,7)=0,"S"&amp;(12/7+1),"")</f>
        <v/>
      </c>
      <c r="W3" s="6" t="str">
        <f aca="false">IF(MOD(13,7)=0,"S"&amp;(13/7+1),"")</f>
        <v/>
      </c>
      <c r="X3" s="6" t="str">
        <f aca="false">IF(MOD(14,7)=0,"S"&amp;(14/7+1),"")</f>
        <v>S3</v>
      </c>
      <c r="Y3" s="6" t="str">
        <f aca="false">IF(MOD(15,7)=0,"S"&amp;(15/7+1),"")</f>
        <v/>
      </c>
      <c r="Z3" s="6" t="str">
        <f aca="false">IF(MOD(16,7)=0,"S"&amp;(16/7+1),"")</f>
        <v/>
      </c>
      <c r="AA3" s="6" t="str">
        <f aca="false">IF(MOD(17,7)=0,"S"&amp;(17/7+1),"")</f>
        <v/>
      </c>
      <c r="AB3" s="6" t="str">
        <f aca="false">IF(MOD(18,7)=0,"S"&amp;(18/7+1),"")</f>
        <v/>
      </c>
      <c r="AC3" s="6" t="str">
        <f aca="false">IF(MOD(19,7)=0,"S"&amp;(19/7+1),"")</f>
        <v/>
      </c>
      <c r="AD3" s="6" t="str">
        <f aca="false">IF(MOD(20,7)=0,"S"&amp;(20/7+1),"")</f>
        <v/>
      </c>
      <c r="AE3" s="6" t="str">
        <f aca="false">IF(MOD(21,7)=0,"S"&amp;(21/7+1),"")</f>
        <v>S4</v>
      </c>
      <c r="AF3" s="6" t="str">
        <f aca="false">IF(MOD(22,7)=0,"S"&amp;(22/7+1),"")</f>
        <v/>
      </c>
      <c r="AG3" s="6" t="str">
        <f aca="false">IF(MOD(23,7)=0,"S"&amp;(23/7+1),"")</f>
        <v/>
      </c>
      <c r="AH3" s="6" t="str">
        <f aca="false">IF(MOD(24,7)=0,"S"&amp;(24/7+1),"")</f>
        <v/>
      </c>
      <c r="AI3" s="6" t="str">
        <f aca="false">IF(MOD(25,7)=0,"S"&amp;(25/7+1),"")</f>
        <v/>
      </c>
      <c r="AJ3" s="6" t="str">
        <f aca="false">IF(MOD(26,7)=0,"S"&amp;(26/7+1),"")</f>
        <v/>
      </c>
      <c r="AK3" s="6" t="str">
        <f aca="false">IF(MOD(27,7)=0,"S"&amp;(27/7+1),"")</f>
        <v/>
      </c>
      <c r="AL3" s="6" t="str">
        <f aca="false">IF(MOD(28,7)=0,"S"&amp;(28/7+1),"")</f>
        <v>S5</v>
      </c>
      <c r="AM3" s="6" t="str">
        <f aca="false">IF(MOD(29,7)=0,"S"&amp;(29/7+1),"")</f>
        <v/>
      </c>
      <c r="AN3" s="6" t="str">
        <f aca="false">IF(MOD(30,7)=0,"S"&amp;(30/7+1),"")</f>
        <v/>
      </c>
      <c r="AO3" s="6" t="str">
        <f aca="false">IF(MOD(31,7)=0,"S"&amp;(31/7+1),"")</f>
        <v/>
      </c>
      <c r="AP3" s="6" t="str">
        <f aca="false">IF(MOD(32,7)=0,"S"&amp;(32/7+1),"")</f>
        <v/>
      </c>
      <c r="AQ3" s="6" t="str">
        <f aca="false">IF(MOD(33,7)=0,"S"&amp;(33/7+1),"")</f>
        <v/>
      </c>
      <c r="AR3" s="6" t="str">
        <f aca="false">IF(MOD(34,7)=0,"S"&amp;(34/7+1),"")</f>
        <v/>
      </c>
      <c r="AS3" s="6" t="str">
        <f aca="false">IF(MOD(35,7)=0,"S"&amp;(35/7+1),"")</f>
        <v>S6</v>
      </c>
      <c r="AT3" s="6" t="str">
        <f aca="false">IF(MOD(36,7)=0,"S"&amp;(36/7+1),"")</f>
        <v/>
      </c>
      <c r="AU3" s="6" t="str">
        <f aca="false">IF(MOD(37,7)=0,"S"&amp;(37/7+1),"")</f>
        <v/>
      </c>
      <c r="AV3" s="6" t="str">
        <f aca="false">IF(MOD(38,7)=0,"S"&amp;(38/7+1),"")</f>
        <v/>
      </c>
      <c r="AW3" s="6" t="str">
        <f aca="false">IF(MOD(39,7)=0,"S"&amp;(39/7+1),"")</f>
        <v/>
      </c>
      <c r="AX3" s="6" t="str">
        <f aca="false">IF(MOD(40,7)=0,"S"&amp;(40/7+1),"")</f>
        <v/>
      </c>
      <c r="AY3" s="6" t="str">
        <f aca="false">IF(MOD(41,7)=0,"S"&amp;(41/7+1),"")</f>
        <v/>
      </c>
      <c r="AZ3" s="6" t="str">
        <f aca="false">IF(MOD(42,7)=0,"S"&amp;(42/7+1),"")</f>
        <v>S7</v>
      </c>
      <c r="BA3" s="6" t="str">
        <f aca="false">IF(MOD(43,7)=0,"S"&amp;(43/7+1),"")</f>
        <v/>
      </c>
      <c r="BB3" s="6" t="str">
        <f aca="false">IF(MOD(44,7)=0,"S"&amp;(44/7+1),"")</f>
        <v/>
      </c>
      <c r="BC3" s="6" t="str">
        <f aca="false">IF(MOD(45,7)=0,"S"&amp;(45/7+1),"")</f>
        <v/>
      </c>
      <c r="BD3" s="6" t="str">
        <f aca="false">IF(MOD(46,7)=0,"S"&amp;(46/7+1),"")</f>
        <v/>
      </c>
      <c r="BE3" s="6" t="str">
        <f aca="false">IF(MOD(47,7)=0,"S"&amp;(47/7+1),"")</f>
        <v/>
      </c>
      <c r="BF3" s="6" t="str">
        <f aca="false">IF(MOD(48,7)=0,"S"&amp;(48/7+1),"")</f>
        <v/>
      </c>
      <c r="BG3" s="6" t="str">
        <f aca="false">IF(MOD(49,7)=0,"S"&amp;(49/7+1),"")</f>
        <v>S8</v>
      </c>
      <c r="BH3" s="6" t="str">
        <f aca="false">IF(MOD(50,7)=0,"S"&amp;(50/7+1),"")</f>
        <v/>
      </c>
      <c r="BI3" s="6" t="str">
        <f aca="false">IF(MOD(51,7)=0,"S"&amp;(51/7+1),"")</f>
        <v/>
      </c>
      <c r="BJ3" s="6" t="str">
        <f aca="false">IF(MOD(52,7)=0,"S"&amp;(52/7+1),"")</f>
        <v/>
      </c>
      <c r="BK3" s="6" t="str">
        <f aca="false">IF(MOD(53,7)=0,"S"&amp;(53/7+1),"")</f>
        <v/>
      </c>
      <c r="BL3" s="6" t="str">
        <f aca="false">IF(MOD(54,7)=0,"S"&amp;(54/7+1),"")</f>
        <v/>
      </c>
      <c r="BM3" s="6" t="str">
        <f aca="false">IF(MOD(55,7)=0,"S"&amp;(55/7+1),"")</f>
        <v/>
      </c>
      <c r="BN3" s="6" t="str">
        <f aca="false">IF(MOD(56,7)=0,"S"&amp;(56/7+1),"")</f>
        <v>S9</v>
      </c>
      <c r="BO3" s="6" t="str">
        <f aca="false">IF(MOD(57,7)=0,"S"&amp;(57/7+1),"")</f>
        <v/>
      </c>
      <c r="BP3" s="6" t="str">
        <f aca="false">IF(MOD(58,7)=0,"S"&amp;(58/7+1),"")</f>
        <v/>
      </c>
      <c r="BQ3" s="6" t="str">
        <f aca="false">IF(MOD(59,7)=0,"S"&amp;(59/7+1),"")</f>
        <v/>
      </c>
      <c r="BR3" s="6" t="str">
        <f aca="false">IF(MOD(60,7)=0,"S"&amp;(60/7+1),"")</f>
        <v/>
      </c>
      <c r="BS3" s="6" t="str">
        <f aca="false">IF(MOD(61,7)=0,"S"&amp;(61/7+1),"")</f>
        <v/>
      </c>
      <c r="BT3" s="6" t="str">
        <f aca="false">IF(MOD(62,7)=0,"S"&amp;(62/7+1),"")</f>
        <v/>
      </c>
      <c r="BU3" s="6" t="str">
        <f aca="false">IF(MOD(63,7)=0,"S"&amp;(63/7+1),"")</f>
        <v>S10</v>
      </c>
      <c r="BV3" s="6" t="str">
        <f aca="false">IF(MOD(64,7)=0,"S"&amp;(64/7+1),"")</f>
        <v/>
      </c>
      <c r="BW3" s="6" t="str">
        <f aca="false">IF(MOD(65,7)=0,"S"&amp;(65/7+1),"")</f>
        <v/>
      </c>
      <c r="BX3" s="6" t="str">
        <f aca="false">IF(MOD(66,7)=0,"S"&amp;(66/7+1),"")</f>
        <v/>
      </c>
      <c r="BY3" s="6" t="str">
        <f aca="false">IF(MOD(67,7)=0,"S"&amp;(67/7+1),"")</f>
        <v/>
      </c>
      <c r="BZ3" s="6" t="str">
        <f aca="false">IF(MOD(68,7)=0,"S"&amp;(68/7+1),"")</f>
        <v/>
      </c>
      <c r="CA3" s="6" t="str">
        <f aca="false">IF(MOD(69,7)=0,"S"&amp;(69/7+1),"")</f>
        <v/>
      </c>
    </row>
    <row r="4" customFormat="false" ht="42" hidden="false" customHeight="true" outlineLevel="0" collapsed="false">
      <c r="A4" s="7" t="s">
        <v>3</v>
      </c>
      <c r="B4" s="7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10</v>
      </c>
      <c r="I4" s="7" t="s">
        <v>11</v>
      </c>
      <c r="J4" s="8" t="n">
        <f aca="false">$C$2+0</f>
        <v>46321</v>
      </c>
      <c r="K4" s="8" t="n">
        <f aca="false">$C$2+1</f>
        <v>46322</v>
      </c>
      <c r="L4" s="8" t="n">
        <f aca="false">$C$2+2</f>
        <v>46323</v>
      </c>
      <c r="M4" s="8" t="n">
        <f aca="false">$C$2+3</f>
        <v>46324</v>
      </c>
      <c r="N4" s="8" t="n">
        <f aca="false">$C$2+4</f>
        <v>46325</v>
      </c>
      <c r="O4" s="8" t="n">
        <f aca="false">$C$2+5</f>
        <v>46326</v>
      </c>
      <c r="P4" s="8" t="n">
        <f aca="false">$C$2+6</f>
        <v>46327</v>
      </c>
      <c r="Q4" s="8" t="n">
        <f aca="false">$C$2+7</f>
        <v>46328</v>
      </c>
      <c r="R4" s="8" t="n">
        <f aca="false">$C$2+8</f>
        <v>46329</v>
      </c>
      <c r="S4" s="8" t="n">
        <f aca="false">$C$2+9</f>
        <v>46330</v>
      </c>
      <c r="T4" s="8" t="n">
        <f aca="false">$C$2+10</f>
        <v>46331</v>
      </c>
      <c r="U4" s="8" t="n">
        <f aca="false">$C$2+11</f>
        <v>46332</v>
      </c>
      <c r="V4" s="8" t="n">
        <f aca="false">$C$2+12</f>
        <v>46333</v>
      </c>
      <c r="W4" s="8" t="n">
        <f aca="false">$C$2+13</f>
        <v>46334</v>
      </c>
      <c r="X4" s="8" t="n">
        <f aca="false">$C$2+14</f>
        <v>46335</v>
      </c>
      <c r="Y4" s="8" t="n">
        <f aca="false">$C$2+15</f>
        <v>46336</v>
      </c>
      <c r="Z4" s="8" t="n">
        <f aca="false">$C$2+16</f>
        <v>46337</v>
      </c>
      <c r="AA4" s="8" t="n">
        <f aca="false">$C$2+17</f>
        <v>46338</v>
      </c>
      <c r="AB4" s="8" t="n">
        <f aca="false">$C$2+18</f>
        <v>46339</v>
      </c>
      <c r="AC4" s="8" t="n">
        <f aca="false">$C$2+19</f>
        <v>46340</v>
      </c>
      <c r="AD4" s="8" t="n">
        <f aca="false">$C$2+20</f>
        <v>46341</v>
      </c>
      <c r="AE4" s="8" t="n">
        <f aca="false">$C$2+21</f>
        <v>46342</v>
      </c>
      <c r="AF4" s="8" t="n">
        <f aca="false">$C$2+22</f>
        <v>46343</v>
      </c>
      <c r="AG4" s="8" t="n">
        <f aca="false">$C$2+23</f>
        <v>46344</v>
      </c>
      <c r="AH4" s="8" t="n">
        <f aca="false">$C$2+24</f>
        <v>46345</v>
      </c>
      <c r="AI4" s="8" t="n">
        <f aca="false">$C$2+25</f>
        <v>46346</v>
      </c>
      <c r="AJ4" s="8" t="n">
        <f aca="false">$C$2+26</f>
        <v>46347</v>
      </c>
      <c r="AK4" s="8" t="n">
        <f aca="false">$C$2+27</f>
        <v>46348</v>
      </c>
      <c r="AL4" s="8" t="n">
        <f aca="false">$C$2+28</f>
        <v>46349</v>
      </c>
      <c r="AM4" s="8" t="n">
        <f aca="false">$C$2+29</f>
        <v>46350</v>
      </c>
      <c r="AN4" s="8" t="n">
        <f aca="false">$C$2+30</f>
        <v>46351</v>
      </c>
      <c r="AO4" s="8" t="n">
        <f aca="false">$C$2+31</f>
        <v>46352</v>
      </c>
      <c r="AP4" s="8" t="n">
        <f aca="false">$C$2+32</f>
        <v>46353</v>
      </c>
      <c r="AQ4" s="8" t="n">
        <f aca="false">$C$2+33</f>
        <v>46354</v>
      </c>
      <c r="AR4" s="8" t="n">
        <f aca="false">$C$2+34</f>
        <v>46355</v>
      </c>
      <c r="AS4" s="8" t="n">
        <f aca="false">$C$2+35</f>
        <v>46356</v>
      </c>
      <c r="AT4" s="8" t="n">
        <f aca="false">$C$2+36</f>
        <v>46357</v>
      </c>
      <c r="AU4" s="8" t="n">
        <f aca="false">$C$2+37</f>
        <v>46358</v>
      </c>
      <c r="AV4" s="8" t="n">
        <f aca="false">$C$2+38</f>
        <v>46359</v>
      </c>
      <c r="AW4" s="8" t="n">
        <f aca="false">$C$2+39</f>
        <v>46360</v>
      </c>
      <c r="AX4" s="8" t="n">
        <f aca="false">$C$2+40</f>
        <v>46361</v>
      </c>
      <c r="AY4" s="8" t="n">
        <f aca="false">$C$2+41</f>
        <v>46362</v>
      </c>
      <c r="AZ4" s="8" t="n">
        <f aca="false">$C$2+42</f>
        <v>46363</v>
      </c>
      <c r="BA4" s="8" t="n">
        <f aca="false">$C$2+43</f>
        <v>46364</v>
      </c>
      <c r="BB4" s="8" t="n">
        <f aca="false">$C$2+44</f>
        <v>46365</v>
      </c>
      <c r="BC4" s="8" t="n">
        <f aca="false">$C$2+45</f>
        <v>46366</v>
      </c>
      <c r="BD4" s="8" t="n">
        <f aca="false">$C$2+46</f>
        <v>46367</v>
      </c>
      <c r="BE4" s="8" t="n">
        <f aca="false">$C$2+47</f>
        <v>46368</v>
      </c>
      <c r="BF4" s="8" t="n">
        <f aca="false">$C$2+48</f>
        <v>46369</v>
      </c>
      <c r="BG4" s="8" t="n">
        <f aca="false">$C$2+49</f>
        <v>46370</v>
      </c>
      <c r="BH4" s="8" t="n">
        <f aca="false">$C$2+50</f>
        <v>46371</v>
      </c>
      <c r="BI4" s="8" t="n">
        <f aca="false">$C$2+51</f>
        <v>46372</v>
      </c>
      <c r="BJ4" s="8" t="n">
        <f aca="false">$C$2+52</f>
        <v>46373</v>
      </c>
      <c r="BK4" s="8" t="n">
        <f aca="false">$C$2+53</f>
        <v>46374</v>
      </c>
      <c r="BL4" s="8" t="n">
        <f aca="false">$C$2+54</f>
        <v>46375</v>
      </c>
      <c r="BM4" s="8" t="n">
        <f aca="false">$C$2+55</f>
        <v>46376</v>
      </c>
      <c r="BN4" s="8" t="n">
        <f aca="false">$C$2+56</f>
        <v>46377</v>
      </c>
      <c r="BO4" s="8" t="n">
        <f aca="false">$C$2+57</f>
        <v>46378</v>
      </c>
      <c r="BP4" s="8" t="n">
        <f aca="false">$C$2+58</f>
        <v>46379</v>
      </c>
      <c r="BQ4" s="8" t="n">
        <f aca="false">$C$2+59</f>
        <v>46380</v>
      </c>
      <c r="BR4" s="8" t="n">
        <f aca="false">$C$2+60</f>
        <v>46381</v>
      </c>
      <c r="BS4" s="8" t="n">
        <f aca="false">$C$2+61</f>
        <v>46382</v>
      </c>
      <c r="BT4" s="8" t="n">
        <f aca="false">$C$2+62</f>
        <v>46383</v>
      </c>
      <c r="BU4" s="8" t="n">
        <f aca="false">$C$2+63</f>
        <v>46384</v>
      </c>
      <c r="BV4" s="8" t="n">
        <f aca="false">$C$2+64</f>
        <v>46385</v>
      </c>
      <c r="BW4" s="8" t="n">
        <f aca="false">$C$2+65</f>
        <v>46386</v>
      </c>
      <c r="BX4" s="8" t="n">
        <f aca="false">$C$2+66</f>
        <v>46387</v>
      </c>
      <c r="BY4" s="8" t="n">
        <f aca="false">$C$2+67</f>
        <v>46388</v>
      </c>
      <c r="BZ4" s="8" t="n">
        <f aca="false">$C$2+68</f>
        <v>46389</v>
      </c>
      <c r="CA4" s="8" t="n">
        <f aca="false">$C$2+69</f>
        <v>46390</v>
      </c>
    </row>
    <row r="5" customFormat="false" ht="15" hidden="false" customHeight="true" outlineLevel="0" collapsed="false">
      <c r="A5" s="9" t="s">
        <v>12</v>
      </c>
      <c r="B5" s="10" t="s">
        <v>13</v>
      </c>
      <c r="C5" s="10" t="s">
        <v>14</v>
      </c>
      <c r="D5" s="9" t="n">
        <v>1</v>
      </c>
      <c r="E5" s="9" t="n">
        <v>1</v>
      </c>
      <c r="F5" s="11" t="n">
        <f aca="false">$C$2+7*(D5-1)</f>
        <v>46321</v>
      </c>
      <c r="G5" s="11" t="n">
        <f aca="false">$C$2+7*E5-1</f>
        <v>46327</v>
      </c>
      <c r="H5" s="9" t="n">
        <f aca="false">G5-F5+1</f>
        <v>7</v>
      </c>
      <c r="I5" s="9" t="s">
        <v>15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</row>
    <row r="6" customFormat="false" ht="15" hidden="false" customHeight="true" outlineLevel="0" collapsed="false">
      <c r="A6" s="13" t="s">
        <v>16</v>
      </c>
      <c r="B6" s="14" t="s">
        <v>17</v>
      </c>
      <c r="C6" s="14" t="s">
        <v>14</v>
      </c>
      <c r="D6" s="13" t="n">
        <v>1</v>
      </c>
      <c r="E6" s="13" t="n">
        <v>1</v>
      </c>
      <c r="F6" s="15" t="n">
        <f aca="false">$C$2+7*(D6-1)</f>
        <v>46321</v>
      </c>
      <c r="G6" s="15" t="n">
        <f aca="false">$C$2+7*E6-1</f>
        <v>46327</v>
      </c>
      <c r="H6" s="13" t="n">
        <f aca="false">G6-F6+1</f>
        <v>7</v>
      </c>
      <c r="I6" s="13" t="s">
        <v>15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</row>
    <row r="7" customFormat="false" ht="15" hidden="false" customHeight="true" outlineLevel="0" collapsed="false">
      <c r="A7" s="13" t="s">
        <v>18</v>
      </c>
      <c r="B7" s="14" t="s">
        <v>19</v>
      </c>
      <c r="C7" s="14" t="s">
        <v>14</v>
      </c>
      <c r="D7" s="13" t="n">
        <v>1</v>
      </c>
      <c r="E7" s="13" t="n">
        <v>1</v>
      </c>
      <c r="F7" s="15" t="n">
        <f aca="false">$C$2+7*(D7-1)</f>
        <v>46321</v>
      </c>
      <c r="G7" s="15" t="n">
        <f aca="false">$C$2+7*E7-1</f>
        <v>46327</v>
      </c>
      <c r="H7" s="13" t="n">
        <f aca="false">G7-F7+1</f>
        <v>7</v>
      </c>
      <c r="I7" s="13" t="s">
        <v>15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</row>
    <row r="8" customFormat="false" ht="15" hidden="false" customHeight="true" outlineLevel="0" collapsed="false">
      <c r="A8" s="13" t="s">
        <v>20</v>
      </c>
      <c r="B8" s="14" t="s">
        <v>21</v>
      </c>
      <c r="C8" s="14" t="s">
        <v>14</v>
      </c>
      <c r="D8" s="13" t="n">
        <v>1</v>
      </c>
      <c r="E8" s="13" t="n">
        <v>1</v>
      </c>
      <c r="F8" s="15" t="n">
        <f aca="false">$C$2+7*(D8-1)</f>
        <v>46321</v>
      </c>
      <c r="G8" s="15" t="n">
        <f aca="false">$C$2+7*E8-1</f>
        <v>46327</v>
      </c>
      <c r="H8" s="13" t="n">
        <f aca="false">G8-F8+1</f>
        <v>7</v>
      </c>
      <c r="I8" s="13" t="s">
        <v>15</v>
      </c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</row>
    <row r="9" customFormat="false" ht="15" hidden="false" customHeight="true" outlineLevel="0" collapsed="false">
      <c r="A9" s="13" t="s">
        <v>22</v>
      </c>
      <c r="B9" s="14" t="s">
        <v>23</v>
      </c>
      <c r="C9" s="14" t="s">
        <v>24</v>
      </c>
      <c r="D9" s="13" t="n">
        <v>1</v>
      </c>
      <c r="E9" s="13" t="n">
        <v>1</v>
      </c>
      <c r="F9" s="15" t="n">
        <f aca="false">$C$2+7*(D9-1)</f>
        <v>46321</v>
      </c>
      <c r="G9" s="15" t="n">
        <f aca="false">$C$2+7*E9-1</f>
        <v>46327</v>
      </c>
      <c r="H9" s="13" t="n">
        <f aca="false">G9-F9+1</f>
        <v>7</v>
      </c>
      <c r="I9" s="13" t="s">
        <v>15</v>
      </c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</row>
    <row r="10" customFormat="false" ht="15" hidden="false" customHeight="true" outlineLevel="0" collapsed="false">
      <c r="A10" s="13" t="s">
        <v>25</v>
      </c>
      <c r="B10" s="14" t="s">
        <v>26</v>
      </c>
      <c r="C10" s="14" t="s">
        <v>14</v>
      </c>
      <c r="D10" s="13" t="n">
        <v>1</v>
      </c>
      <c r="E10" s="13" t="n">
        <v>1</v>
      </c>
      <c r="F10" s="15" t="n">
        <f aca="false">$C$2+7*(D10-1)</f>
        <v>46321</v>
      </c>
      <c r="G10" s="15" t="n">
        <f aca="false">$C$2+7*E10-1</f>
        <v>46327</v>
      </c>
      <c r="H10" s="13" t="n">
        <f aca="false">G10-F10+1</f>
        <v>7</v>
      </c>
      <c r="I10" s="13" t="s">
        <v>15</v>
      </c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</row>
    <row r="11" customFormat="false" ht="15" hidden="false" customHeight="true" outlineLevel="0" collapsed="false">
      <c r="A11" s="9" t="s">
        <v>27</v>
      </c>
      <c r="B11" s="10" t="s">
        <v>28</v>
      </c>
      <c r="C11" s="10" t="s">
        <v>29</v>
      </c>
      <c r="D11" s="9" t="n">
        <v>2</v>
      </c>
      <c r="E11" s="9" t="n">
        <v>3</v>
      </c>
      <c r="F11" s="11" t="n">
        <f aca="false">$C$2+7*(D11-1)</f>
        <v>46328</v>
      </c>
      <c r="G11" s="11" t="n">
        <f aca="false">$C$2+7*E11-1</f>
        <v>46341</v>
      </c>
      <c r="H11" s="9" t="n">
        <f aca="false">G11-F11+1</f>
        <v>14</v>
      </c>
      <c r="I11" s="9" t="s">
        <v>15</v>
      </c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</row>
    <row r="12" customFormat="false" ht="15" hidden="false" customHeight="true" outlineLevel="0" collapsed="false">
      <c r="A12" s="13" t="s">
        <v>30</v>
      </c>
      <c r="B12" s="14" t="s">
        <v>31</v>
      </c>
      <c r="C12" s="14" t="s">
        <v>29</v>
      </c>
      <c r="D12" s="13" t="n">
        <v>2</v>
      </c>
      <c r="E12" s="13" t="n">
        <v>3</v>
      </c>
      <c r="F12" s="15" t="n">
        <f aca="false">$C$2+7*(D12-1)</f>
        <v>46328</v>
      </c>
      <c r="G12" s="15" t="n">
        <f aca="false">$C$2+7*E12-1</f>
        <v>46341</v>
      </c>
      <c r="H12" s="13" t="n">
        <f aca="false">G12-F12+1</f>
        <v>14</v>
      </c>
      <c r="I12" s="13" t="s">
        <v>15</v>
      </c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</row>
    <row r="13" customFormat="false" ht="15" hidden="false" customHeight="true" outlineLevel="0" collapsed="false">
      <c r="A13" s="13" t="s">
        <v>32</v>
      </c>
      <c r="B13" s="14" t="s">
        <v>33</v>
      </c>
      <c r="C13" s="14" t="s">
        <v>24</v>
      </c>
      <c r="D13" s="13" t="n">
        <v>2</v>
      </c>
      <c r="E13" s="13" t="n">
        <v>3</v>
      </c>
      <c r="F13" s="15" t="n">
        <f aca="false">$C$2+7*(D13-1)</f>
        <v>46328</v>
      </c>
      <c r="G13" s="15" t="n">
        <f aca="false">$C$2+7*E13-1</f>
        <v>46341</v>
      </c>
      <c r="H13" s="13" t="n">
        <f aca="false">G13-F13+1</f>
        <v>14</v>
      </c>
      <c r="I13" s="13" t="s">
        <v>15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</row>
    <row r="14" customFormat="false" ht="15" hidden="false" customHeight="true" outlineLevel="0" collapsed="false">
      <c r="A14" s="9" t="s">
        <v>34</v>
      </c>
      <c r="B14" s="10" t="s">
        <v>35</v>
      </c>
      <c r="C14" s="10" t="s">
        <v>29</v>
      </c>
      <c r="D14" s="9" t="n">
        <v>4</v>
      </c>
      <c r="E14" s="9" t="n">
        <v>5</v>
      </c>
      <c r="F14" s="11" t="n">
        <f aca="false">$C$2+7*(D14-1)</f>
        <v>46342</v>
      </c>
      <c r="G14" s="11" t="n">
        <f aca="false">$C$2+7*E14-1</f>
        <v>46355</v>
      </c>
      <c r="H14" s="9" t="n">
        <f aca="false">G14-F14+1</f>
        <v>14</v>
      </c>
      <c r="I14" s="9" t="s">
        <v>15</v>
      </c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</row>
    <row r="15" customFormat="false" ht="15" hidden="false" customHeight="true" outlineLevel="0" collapsed="false">
      <c r="A15" s="13" t="s">
        <v>36</v>
      </c>
      <c r="B15" s="14" t="s">
        <v>37</v>
      </c>
      <c r="C15" s="14" t="s">
        <v>29</v>
      </c>
      <c r="D15" s="13" t="n">
        <v>4</v>
      </c>
      <c r="E15" s="13" t="n">
        <v>4</v>
      </c>
      <c r="F15" s="15" t="n">
        <f aca="false">$C$2+7*(D15-1)</f>
        <v>46342</v>
      </c>
      <c r="G15" s="15" t="n">
        <f aca="false">$C$2+7*E15-1</f>
        <v>46348</v>
      </c>
      <c r="H15" s="13" t="n">
        <f aca="false">G15-F15+1</f>
        <v>7</v>
      </c>
      <c r="I15" s="13" t="s">
        <v>15</v>
      </c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</row>
    <row r="16" customFormat="false" ht="15" hidden="false" customHeight="true" outlineLevel="0" collapsed="false">
      <c r="A16" s="13" t="s">
        <v>38</v>
      </c>
      <c r="B16" s="14" t="s">
        <v>39</v>
      </c>
      <c r="C16" s="14" t="s">
        <v>29</v>
      </c>
      <c r="D16" s="13" t="n">
        <v>4</v>
      </c>
      <c r="E16" s="13" t="n">
        <v>5</v>
      </c>
      <c r="F16" s="15" t="n">
        <f aca="false">$C$2+7*(D16-1)</f>
        <v>46342</v>
      </c>
      <c r="G16" s="15" t="n">
        <f aca="false">$C$2+7*E16-1</f>
        <v>46355</v>
      </c>
      <c r="H16" s="13" t="n">
        <f aca="false">G16-F16+1</f>
        <v>14</v>
      </c>
      <c r="I16" s="13" t="s">
        <v>15</v>
      </c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</row>
    <row r="17" customFormat="false" ht="15" hidden="false" customHeight="true" outlineLevel="0" collapsed="false">
      <c r="A17" s="13" t="s">
        <v>40</v>
      </c>
      <c r="B17" s="14" t="s">
        <v>41</v>
      </c>
      <c r="C17" s="14" t="s">
        <v>24</v>
      </c>
      <c r="D17" s="13" t="n">
        <v>5</v>
      </c>
      <c r="E17" s="13" t="n">
        <v>5</v>
      </c>
      <c r="F17" s="15" t="n">
        <f aca="false">$C$2+7*(D17-1)</f>
        <v>46349</v>
      </c>
      <c r="G17" s="15" t="n">
        <f aca="false">$C$2+7*E17-1</f>
        <v>46355</v>
      </c>
      <c r="H17" s="13" t="n">
        <f aca="false">G17-F17+1</f>
        <v>7</v>
      </c>
      <c r="I17" s="13" t="s">
        <v>15</v>
      </c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</row>
    <row r="18" customFormat="false" ht="15" hidden="false" customHeight="true" outlineLevel="0" collapsed="false">
      <c r="A18" s="9" t="s">
        <v>42</v>
      </c>
      <c r="B18" s="10" t="s">
        <v>43</v>
      </c>
      <c r="C18" s="10" t="s">
        <v>24</v>
      </c>
      <c r="D18" s="9" t="n">
        <v>6</v>
      </c>
      <c r="E18" s="9" t="n">
        <v>7</v>
      </c>
      <c r="F18" s="11" t="n">
        <f aca="false">$C$2+7*(D18-1)</f>
        <v>46356</v>
      </c>
      <c r="G18" s="11" t="n">
        <f aca="false">$C$2+7*E18-1</f>
        <v>46369</v>
      </c>
      <c r="H18" s="9" t="n">
        <f aca="false">G18-F18+1</f>
        <v>14</v>
      </c>
      <c r="I18" s="9" t="s">
        <v>15</v>
      </c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</row>
    <row r="19" customFormat="false" ht="15" hidden="false" customHeight="true" outlineLevel="0" collapsed="false">
      <c r="A19" s="13" t="s">
        <v>44</v>
      </c>
      <c r="B19" s="14" t="s">
        <v>45</v>
      </c>
      <c r="C19" s="14" t="s">
        <v>24</v>
      </c>
      <c r="D19" s="13" t="n">
        <v>6</v>
      </c>
      <c r="E19" s="13" t="n">
        <v>7</v>
      </c>
      <c r="F19" s="15" t="n">
        <f aca="false">$C$2+7*(D19-1)</f>
        <v>46356</v>
      </c>
      <c r="G19" s="15" t="n">
        <f aca="false">$C$2+7*E19-1</f>
        <v>46369</v>
      </c>
      <c r="H19" s="13" t="n">
        <f aca="false">G19-F19+1</f>
        <v>14</v>
      </c>
      <c r="I19" s="13" t="s">
        <v>15</v>
      </c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</row>
    <row r="20" customFormat="false" ht="15" hidden="false" customHeight="true" outlineLevel="0" collapsed="false">
      <c r="A20" s="13" t="s">
        <v>46</v>
      </c>
      <c r="B20" s="14" t="s">
        <v>47</v>
      </c>
      <c r="C20" s="14" t="s">
        <v>29</v>
      </c>
      <c r="D20" s="13" t="n">
        <v>6</v>
      </c>
      <c r="E20" s="13" t="n">
        <v>7</v>
      </c>
      <c r="F20" s="15" t="n">
        <f aca="false">$C$2+7*(D20-1)</f>
        <v>46356</v>
      </c>
      <c r="G20" s="15" t="n">
        <f aca="false">$C$2+7*E20-1</f>
        <v>46369</v>
      </c>
      <c r="H20" s="13" t="n">
        <f aca="false">G20-F20+1</f>
        <v>14</v>
      </c>
      <c r="I20" s="13" t="s">
        <v>15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</row>
    <row r="21" customFormat="false" ht="15" hidden="false" customHeight="true" outlineLevel="0" collapsed="false">
      <c r="A21" s="13" t="s">
        <v>48</v>
      </c>
      <c r="B21" s="14" t="s">
        <v>49</v>
      </c>
      <c r="C21" s="14" t="s">
        <v>24</v>
      </c>
      <c r="D21" s="13" t="n">
        <v>7</v>
      </c>
      <c r="E21" s="13" t="n">
        <v>7</v>
      </c>
      <c r="F21" s="15" t="n">
        <f aca="false">$C$2+7*(D21-1)</f>
        <v>46363</v>
      </c>
      <c r="G21" s="15" t="n">
        <f aca="false">$C$2+7*E21-1</f>
        <v>46369</v>
      </c>
      <c r="H21" s="13" t="n">
        <f aca="false">G21-F21+1</f>
        <v>7</v>
      </c>
      <c r="I21" s="13" t="s">
        <v>15</v>
      </c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</row>
    <row r="22" customFormat="false" ht="15" hidden="false" customHeight="true" outlineLevel="0" collapsed="false">
      <c r="A22" s="9" t="s">
        <v>50</v>
      </c>
      <c r="B22" s="10" t="s">
        <v>51</v>
      </c>
      <c r="C22" s="10" t="s">
        <v>24</v>
      </c>
      <c r="D22" s="9" t="n">
        <v>8</v>
      </c>
      <c r="E22" s="9" t="n">
        <v>9</v>
      </c>
      <c r="F22" s="11" t="n">
        <f aca="false">$C$2+7*(D22-1)</f>
        <v>46370</v>
      </c>
      <c r="G22" s="11" t="n">
        <f aca="false">$C$2+7*E22-1</f>
        <v>46383</v>
      </c>
      <c r="H22" s="9" t="n">
        <f aca="false">G22-F22+1</f>
        <v>14</v>
      </c>
      <c r="I22" s="9" t="s">
        <v>15</v>
      </c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</row>
    <row r="23" customFormat="false" ht="15" hidden="false" customHeight="true" outlineLevel="0" collapsed="false">
      <c r="A23" s="13" t="s">
        <v>52</v>
      </c>
      <c r="B23" s="14" t="s">
        <v>53</v>
      </c>
      <c r="C23" s="14" t="s">
        <v>24</v>
      </c>
      <c r="D23" s="13" t="n">
        <v>8</v>
      </c>
      <c r="E23" s="13" t="n">
        <v>9</v>
      </c>
      <c r="F23" s="15" t="n">
        <f aca="false">$C$2+7*(D23-1)</f>
        <v>46370</v>
      </c>
      <c r="G23" s="15" t="n">
        <f aca="false">$C$2+7*E23-1</f>
        <v>46383</v>
      </c>
      <c r="H23" s="13" t="n">
        <f aca="false">G23-F23+1</f>
        <v>14</v>
      </c>
      <c r="I23" s="13" t="s">
        <v>15</v>
      </c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</row>
    <row r="24" customFormat="false" ht="15" hidden="false" customHeight="true" outlineLevel="0" collapsed="false">
      <c r="A24" s="13" t="s">
        <v>54</v>
      </c>
      <c r="B24" s="14" t="s">
        <v>55</v>
      </c>
      <c r="C24" s="14" t="s">
        <v>29</v>
      </c>
      <c r="D24" s="13" t="n">
        <v>8</v>
      </c>
      <c r="E24" s="13" t="n">
        <v>9</v>
      </c>
      <c r="F24" s="15" t="n">
        <f aca="false">$C$2+7*(D24-1)</f>
        <v>46370</v>
      </c>
      <c r="G24" s="15" t="n">
        <f aca="false">$C$2+7*E24-1</f>
        <v>46383</v>
      </c>
      <c r="H24" s="13" t="n">
        <f aca="false">G24-F24+1</f>
        <v>14</v>
      </c>
      <c r="I24" s="13" t="s">
        <v>15</v>
      </c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</row>
    <row r="25" customFormat="false" ht="15" hidden="false" customHeight="true" outlineLevel="0" collapsed="false">
      <c r="A25" s="13" t="s">
        <v>56</v>
      </c>
      <c r="B25" s="14" t="s">
        <v>57</v>
      </c>
      <c r="C25" s="14" t="s">
        <v>24</v>
      </c>
      <c r="D25" s="13" t="n">
        <v>9</v>
      </c>
      <c r="E25" s="13" t="n">
        <v>9</v>
      </c>
      <c r="F25" s="15" t="n">
        <f aca="false">$C$2+7*(D25-1)</f>
        <v>46377</v>
      </c>
      <c r="G25" s="15" t="n">
        <f aca="false">$C$2+7*E25-1</f>
        <v>46383</v>
      </c>
      <c r="H25" s="13" t="n">
        <f aca="false">G25-F25+1</f>
        <v>7</v>
      </c>
      <c r="I25" s="13" t="s">
        <v>15</v>
      </c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</row>
    <row r="26" customFormat="false" ht="15" hidden="false" customHeight="true" outlineLevel="0" collapsed="false">
      <c r="A26" s="9" t="s">
        <v>58</v>
      </c>
      <c r="B26" s="10" t="s">
        <v>59</v>
      </c>
      <c r="C26" s="10" t="s">
        <v>14</v>
      </c>
      <c r="D26" s="9" t="n">
        <v>10</v>
      </c>
      <c r="E26" s="9" t="n">
        <v>10</v>
      </c>
      <c r="F26" s="11" t="n">
        <f aca="false">$C$2+7*(D26-1)</f>
        <v>46384</v>
      </c>
      <c r="G26" s="11" t="n">
        <f aca="false">$C$2+7*E26-1</f>
        <v>46390</v>
      </c>
      <c r="H26" s="9" t="n">
        <f aca="false">G26-F26+1</f>
        <v>7</v>
      </c>
      <c r="I26" s="9" t="s">
        <v>15</v>
      </c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</row>
    <row r="27" customFormat="false" ht="15" hidden="false" customHeight="true" outlineLevel="0" collapsed="false">
      <c r="A27" s="13" t="s">
        <v>60</v>
      </c>
      <c r="B27" s="14" t="s">
        <v>61</v>
      </c>
      <c r="C27" s="14" t="s">
        <v>14</v>
      </c>
      <c r="D27" s="13" t="n">
        <v>10</v>
      </c>
      <c r="E27" s="13" t="n">
        <v>10</v>
      </c>
      <c r="F27" s="15" t="n">
        <f aca="false">$C$2+7*(D27-1)</f>
        <v>46384</v>
      </c>
      <c r="G27" s="15" t="n">
        <f aca="false">$C$2+7*E27-1</f>
        <v>46390</v>
      </c>
      <c r="H27" s="13" t="n">
        <f aca="false">G27-F27+1</f>
        <v>7</v>
      </c>
      <c r="I27" s="13" t="s">
        <v>15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</row>
    <row r="28" customFormat="false" ht="15" hidden="false" customHeight="true" outlineLevel="0" collapsed="false">
      <c r="A28" s="13" t="s">
        <v>62</v>
      </c>
      <c r="B28" s="14" t="s">
        <v>63</v>
      </c>
      <c r="C28" s="14" t="s">
        <v>14</v>
      </c>
      <c r="D28" s="13" t="n">
        <v>10</v>
      </c>
      <c r="E28" s="13" t="n">
        <v>10</v>
      </c>
      <c r="F28" s="15" t="n">
        <f aca="false">$C$2+7*(D28-1)</f>
        <v>46384</v>
      </c>
      <c r="G28" s="15" t="n">
        <f aca="false">$C$2+7*E28-1</f>
        <v>46390</v>
      </c>
      <c r="H28" s="13" t="n">
        <f aca="false">G28-F28+1</f>
        <v>7</v>
      </c>
      <c r="I28" s="13" t="s">
        <v>15</v>
      </c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</row>
    <row r="30" customFormat="false" ht="15" hidden="false" customHeight="true" outlineLevel="0" collapsed="false">
      <c r="B30" s="16" t="s">
        <v>64</v>
      </c>
    </row>
    <row r="31" customFormat="false" ht="15" hidden="false" customHeight="true" outlineLevel="0" collapsed="false">
      <c r="A31" s="17" t="n">
        <v>1</v>
      </c>
      <c r="B31" s="18" t="s">
        <v>13</v>
      </c>
    </row>
    <row r="32" customFormat="false" ht="15" hidden="false" customHeight="true" outlineLevel="0" collapsed="false">
      <c r="A32" s="19" t="n">
        <v>2</v>
      </c>
      <c r="B32" s="18" t="s">
        <v>28</v>
      </c>
    </row>
    <row r="33" customFormat="false" ht="15" hidden="false" customHeight="true" outlineLevel="0" collapsed="false">
      <c r="A33" s="20" t="n">
        <v>3</v>
      </c>
      <c r="B33" s="18" t="s">
        <v>35</v>
      </c>
    </row>
    <row r="34" customFormat="false" ht="15" hidden="false" customHeight="true" outlineLevel="0" collapsed="false">
      <c r="A34" s="21" t="n">
        <v>4</v>
      </c>
      <c r="B34" s="18" t="s">
        <v>43</v>
      </c>
    </row>
    <row r="35" customFormat="false" ht="15" hidden="false" customHeight="true" outlineLevel="0" collapsed="false">
      <c r="A35" s="22" t="n">
        <v>5</v>
      </c>
      <c r="B35" s="18" t="s">
        <v>51</v>
      </c>
    </row>
    <row r="36" customFormat="false" ht="15" hidden="false" customHeight="true" outlineLevel="0" collapsed="false">
      <c r="A36" s="23" t="n">
        <v>6</v>
      </c>
      <c r="B36" s="18" t="s">
        <v>59</v>
      </c>
    </row>
    <row r="38" customFormat="false" ht="15" hidden="false" customHeight="true" outlineLevel="0" collapsed="false">
      <c r="B38" s="5" t="s">
        <v>65</v>
      </c>
    </row>
  </sheetData>
  <conditionalFormatting sqref="J5:CA28">
    <cfRule type="expression" priority="2" aboveAverage="0" equalAverage="0" bottom="0" percent="0" rank="0" text="" dxfId="0">
      <formula>AND(J$4&gt;=$F5,J$4&lt;=$G5,VALUE(LEFT($A5,1))=1)</formula>
    </cfRule>
    <cfRule type="expression" priority="3" aboveAverage="0" equalAverage="0" bottom="0" percent="0" rank="0" text="" dxfId="1">
      <formula>AND(J$4&gt;=$F5,J$4&lt;=$G5,VALUE(LEFT($A5,1))=2)</formula>
    </cfRule>
    <cfRule type="expression" priority="4" aboveAverage="0" equalAverage="0" bottom="0" percent="0" rank="0" text="" dxfId="2">
      <formula>AND(J$4&gt;=$F5,J$4&lt;=$G5,VALUE(LEFT($A5,1))=3)</formula>
    </cfRule>
    <cfRule type="expression" priority="5" aboveAverage="0" equalAverage="0" bottom="0" percent="0" rank="0" text="" dxfId="3">
      <formula>AND(J$4&gt;=$F5,J$4&lt;=$G5,VALUE(LEFT($A5,1))=4)</formula>
    </cfRule>
    <cfRule type="expression" priority="6" aboveAverage="0" equalAverage="0" bottom="0" percent="0" rank="0" text="" dxfId="4">
      <formula>AND(J$4&gt;=$F5,J$4&lt;=$G5,VALUE(LEFT($A5,1))=5)</formula>
    </cfRule>
    <cfRule type="expression" priority="7" aboveAverage="0" equalAverage="0" bottom="0" percent="0" rank="0" text="" dxfId="5">
      <formula>AND(J$4&gt;=$F5,J$4&lt;=$G5,VALUE(LEFT($A5,1))=6)</formula>
    </cfRule>
  </conditionalFormatting>
  <dataValidations count="1">
    <dataValidation allowBlank="false" errorStyle="stop" operator="between" showDropDown="false" showErrorMessage="false" showInputMessage="false" sqref="I5:I28" type="list">
      <formula1>"Pendiente,En curso,Terminada"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2026-10-27T14:20:44Z</dcterms:created>
  <dc:creator>openpyxl</dc:creator>
  <dc:description/>
  <dc:language>en-US</dc:language>
  <cp:lastModifiedBy/>
  <dcterms:modified xsi:type="dcterms:W3CDTF">2026-10-29T03:05:51Z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