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F" sheetId="2" state="visible" r:id="rId2"/>
    <sheet xmlns:r="http://schemas.openxmlformats.org/officeDocument/2006/relationships" name="RNF" sheetId="3" state="visible" r:id="rId3"/>
    <sheet xmlns:r="http://schemas.openxmlformats.org/officeDocument/2006/relationships" name="Validaciones" sheetId="4" state="visible" r:id="rId4"/>
    <sheet xmlns:r="http://schemas.openxmlformats.org/officeDocument/2006/relationships" name="Encuesta" sheetId="5" state="visible" r:id="rId5"/>
    <sheet xmlns:r="http://schemas.openxmlformats.org/officeDocument/2006/relationships" name="Plan_Pruebas" sheetId="6" state="visible" r:id="rId6"/>
    <sheet xmlns:r="http://schemas.openxmlformats.org/officeDocument/2006/relationships" name="Caja_Blanca" sheetId="7" state="visible" r:id="rId7"/>
  </sheets>
  <definedNames>
    <definedName name="_xlnm._FilterDatabase" localSheetId="1" hidden="1">'RF'!$A$1:$H$20</definedName>
    <definedName name="_xlnm._FilterDatabase" localSheetId="2" hidden="1">'RNF'!$A$1:$F$13</definedName>
    <definedName name="_xlnm._FilterDatabase" localSheetId="3" hidden="1">'Validaciones'!$A$1:$H$51</definedName>
    <definedName name="_xlnm._FilterDatabase" localSheetId="4" hidden="1">'Encuesta'!$A$1:$E$20</definedName>
    <definedName name="_xlnm._FilterDatabase" localSheetId="5" hidden="1">'Plan_Pruebas'!$A$1:$G$230</definedName>
    <definedName name="_xlnm._FilterDatabase" localSheetId="6" hidden="1">'Caja_Blanca'!$A$1:$H$29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000000"/>
    </font>
    <font>
      <name val="Arial"/>
      <sz val="10"/>
    </font>
    <font>
      <name val="Arial"/>
      <b val="1"/>
      <color rgb="00000000"/>
      <sz val="10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Sembrando Futuro — Matriz de trazabilidad y plan de pruebas (versión final)</t>
        </is>
      </c>
    </row>
    <row r="2">
      <c r="A2" s="2" t="inlineStr">
        <is>
          <t>Base: ERS, con 19 requisitos funcionales y 12 requisitos no funcionales. Los resultados de cada prueba se registran en la hoja Plan_Pruebas.</t>
        </is>
      </c>
    </row>
    <row r="4">
      <c r="A4" s="3" t="inlineStr">
        <is>
          <t>Indicador</t>
        </is>
      </c>
      <c r="B4" s="3" t="inlineStr">
        <is>
          <t>Valor</t>
        </is>
      </c>
    </row>
    <row r="5">
      <c r="A5" s="4" t="inlineStr">
        <is>
          <t>Requisitos funcionales</t>
        </is>
      </c>
      <c r="B5" s="4">
        <f>COUNTA(RF!A2:A20)</f>
        <v/>
      </c>
    </row>
    <row r="6">
      <c r="A6" s="4" t="inlineStr">
        <is>
          <t>RF con criterio de aceptación</t>
        </is>
      </c>
      <c r="B6" s="4">
        <f>COUNTA(RF!G2:G20)</f>
        <v/>
      </c>
    </row>
    <row r="7">
      <c r="A7" s="4" t="inlineStr">
        <is>
          <t>Requisitos no funcionales</t>
        </is>
      </c>
      <c r="B7" s="4">
        <f>COUNTA(RNF!A2:A13)</f>
        <v/>
      </c>
    </row>
    <row r="8">
      <c r="A8" s="4" t="inlineStr">
        <is>
          <t>RNF con método de verificación</t>
        </is>
      </c>
      <c r="B8" s="4">
        <f>COUNTA(RNF!E2:E13)</f>
        <v/>
      </c>
    </row>
    <row r="9">
      <c r="A9" s="4" t="inlineStr">
        <is>
          <t>Preguntas de encuesta trazadas</t>
        </is>
      </c>
      <c r="B9" s="4">
        <f>COUNTA(Encuesta!A2:A21)</f>
        <v/>
      </c>
    </row>
    <row r="10">
      <c r="A10" s="4" t="inlineStr">
        <is>
          <t>Casos de prueba definidos</t>
        </is>
      </c>
      <c r="B10" s="4">
        <f>COUNTA(Plan_Pruebas!A2:A230)</f>
        <v/>
      </c>
    </row>
    <row r="11">
      <c r="A11" s="4" t="n"/>
      <c r="B11" s="4" t="n"/>
    </row>
    <row r="12">
      <c r="A12" s="4" t="n"/>
      <c r="B12" s="4" t="n"/>
    </row>
    <row r="13">
      <c r="A13" s="4" t="n"/>
      <c r="B13" s="4" t="n"/>
    </row>
    <row r="14">
      <c r="A14" s="4" t="n"/>
      <c r="B14" s="4" t="n"/>
    </row>
    <row r="15">
      <c r="A15" s="4" t="n"/>
      <c r="B15" s="4" t="n"/>
    </row>
    <row r="16">
      <c r="A16" s="4" t="n"/>
      <c r="B16" s="4" t="n"/>
    </row>
    <row r="17">
      <c r="A17" s="4" t="n"/>
      <c r="B17" s="4" t="n"/>
    </row>
    <row r="18">
      <c r="A18" s="4" t="n"/>
      <c r="B18" s="4" t="n"/>
    </row>
    <row r="19">
      <c r="A19" s="4" t="n"/>
      <c r="B19" s="4" t="n"/>
    </row>
    <row r="20">
      <c r="A20" s="4" t="n"/>
      <c r="B20" s="4" t="n"/>
    </row>
    <row r="21">
      <c r="A21" s="4" t="n"/>
      <c r="B21" s="4" t="n"/>
    </row>
    <row r="22">
      <c r="A22" s="4" t="n"/>
      <c r="B22" s="4" t="n"/>
    </row>
    <row r="23">
      <c r="A23" s="4" t="n"/>
      <c r="B23" s="4" t="n"/>
    </row>
    <row r="24">
      <c r="A24" s="4" t="n"/>
      <c r="B24" s="4" t="n"/>
    </row>
    <row r="25">
      <c r="A25" s="4" t="n"/>
      <c r="B25" s="4" t="n"/>
    </row>
    <row r="26">
      <c r="A26" s="4" t="n"/>
      <c r="B26" s="4" t="n"/>
    </row>
    <row r="27">
      <c r="A27" s="4" t="n"/>
      <c r="B27" s="4" t="n"/>
    </row>
    <row r="28">
      <c r="A28" s="4" t="n"/>
      <c r="B28" s="4" t="n"/>
    </row>
    <row r="29">
      <c r="A29" s="4" t="n"/>
      <c r="B29" s="4" t="n"/>
    </row>
    <row r="30">
      <c r="A30" s="4" t="n"/>
      <c r="B30" s="4" t="n"/>
    </row>
    <row r="31">
      <c r="A31" s="4" t="n"/>
      <c r="B31" s="4" t="n"/>
    </row>
    <row r="32">
      <c r="A32" s="4" t="inlineStr">
        <is>
          <t>Casos de caja negra aprobados</t>
        </is>
      </c>
      <c r="B32" s="4">
        <f>COUNTIF(Plan_Pruebas!F2:F230,"Aprobado")</f>
        <v/>
      </c>
    </row>
    <row r="33">
      <c r="A33" s="4" t="inlineStr">
        <is>
          <t>Casos de caja negra fallidos</t>
        </is>
      </c>
      <c r="B33" s="4">
        <f>COUNTIF(Plan_Pruebas!F2:F230,"Falló")</f>
        <v/>
      </c>
    </row>
    <row r="34">
      <c r="A34" s="4" t="inlineStr">
        <is>
          <t>Casos de caja negra pendientes</t>
        </is>
      </c>
      <c r="B34" s="4">
        <f>COUNTIF(Plan_Pruebas!F2:F230,"Pendiente")</f>
        <v/>
      </c>
    </row>
    <row r="35">
      <c r="A35" s="4" t="inlineStr">
        <is>
          <t>Caja blanca aprobados</t>
        </is>
      </c>
      <c r="B35" s="4">
        <f>COUNTIF(Caja_Blanca!G2:G29,"Aprobado")</f>
        <v/>
      </c>
    </row>
    <row r="36">
      <c r="A36" s="4" t="inlineStr">
        <is>
          <t>Caja blanca fallidos</t>
        </is>
      </c>
      <c r="B36" s="4">
        <f>COUNTIF(Caja_Blanca!G2:G29,"Falló")</f>
        <v/>
      </c>
    </row>
    <row r="37">
      <c r="A37" s="4" t="inlineStr">
        <is>
          <t>Caja blanca pendientes</t>
        </is>
      </c>
      <c r="B37" s="4">
        <f>COUNTIF(Caja_Blanca!G2:G29,"Pendiente")</f>
        <v/>
      </c>
    </row>
    <row r="38">
      <c r="A38" s="4" t="inlineStr">
        <is>
          <t>Última ejecución del plan</t>
        </is>
      </c>
      <c r="B38" s="4" t="inlineStr">
        <is>
          <t>2026-10-28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9" customWidth="1" min="3" max="3"/>
    <col width="12" customWidth="1" min="4" max="4"/>
    <col width="26" customWidth="1" min="5" max="5"/>
    <col width="28" customWidth="1" min="6" max="6"/>
    <col width="64" customWidth="1" min="7" max="7"/>
    <col width="26" customWidth="1" min="8" max="8"/>
  </cols>
  <sheetData>
    <row r="1">
      <c r="A1" s="5" t="inlineStr">
        <is>
          <t>ID</t>
        </is>
      </c>
      <c r="B1" s="5" t="inlineStr">
        <is>
          <t>Requisito</t>
        </is>
      </c>
      <c r="C1" s="5" t="inlineStr">
        <is>
          <t>Prioridad</t>
        </is>
      </c>
      <c r="D1" s="5" t="inlineStr">
        <is>
          <t>Caso de uso</t>
        </is>
      </c>
      <c r="E1" s="5" t="inlineStr">
        <is>
          <t>Diagramas</t>
        </is>
      </c>
      <c r="F1" s="5" t="inlineStr">
        <is>
          <t>RNF asociados</t>
        </is>
      </c>
      <c r="G1" s="5" t="inlineStr">
        <is>
          <t>Criterio de aceptación / prueba</t>
        </is>
      </c>
      <c r="H1" s="5" t="inlineStr">
        <is>
          <t>Entidad o clase</t>
        </is>
      </c>
    </row>
    <row r="2">
      <c r="A2" s="6" t="inlineStr">
        <is>
          <t>RF-01</t>
        </is>
      </c>
      <c r="B2" s="6" t="inlineStr">
        <is>
          <t>Crear la cuenta de Administrador único con clave segura (OWASP ASVS)</t>
        </is>
      </c>
      <c r="C2" s="6" t="inlineStr">
        <is>
          <t>Alta</t>
        </is>
      </c>
      <c r="D2" s="6" t="inlineStr">
        <is>
          <t>CU-05</t>
        </is>
      </c>
      <c r="E2" s="6" t="inlineStr">
        <is>
          <t>DA-01, DS-05, DE-01</t>
        </is>
      </c>
      <c r="F2" s="6" t="inlineStr">
        <is>
          <t>RNF-14, RNF-16</t>
        </is>
      </c>
      <c r="G2" s="6" t="inlineStr">
        <is>
          <t>Caja negra, tabla de decisión: primer admin aceptado; segundo admin rechazado; clave débil rechazada</t>
        </is>
      </c>
      <c r="H2" s="6" t="inlineStr">
        <is>
          <t>USUARIO (rol ADMIN único)</t>
        </is>
      </c>
    </row>
    <row r="3">
      <c r="A3" s="6" t="inlineStr">
        <is>
          <t>RF-02</t>
        </is>
      </c>
      <c r="B3" s="6" t="inlineStr">
        <is>
          <t>Registrar usuario (agricultor) con validaciones de seguridad y clave segura</t>
        </is>
      </c>
      <c r="C3" s="6" t="inlineStr">
        <is>
          <t>Alta</t>
        </is>
      </c>
      <c r="D3" s="6" t="inlineStr">
        <is>
          <t>CU-01</t>
        </is>
      </c>
      <c r="E3" s="6" t="inlineStr">
        <is>
          <t>DA-01, DS-01, DE-01</t>
        </is>
      </c>
      <c r="F3" s="6" t="inlineStr">
        <is>
          <t>RNF-05, RNF-09, RNF-16, RNF-17</t>
        </is>
      </c>
      <c r="G3" s="6" t="inlineStr">
        <is>
          <t>Particiones y valores límite: clave de 9/10/11 caracteres; correo válido e inválido; nombre '0' y 'aaaaa'; OTP a los 14:59 y 15:01 min; 5 intentos; 3 reenvíos; cambio de correo; cuenta pendiente a las 24 h</t>
        </is>
      </c>
      <c r="H3" s="6" t="inlineStr">
        <is>
          <t>USUARIO, OTP</t>
        </is>
      </c>
    </row>
    <row r="4">
      <c r="A4" s="6" t="inlineStr">
        <is>
          <t>RF-03</t>
        </is>
      </c>
      <c r="B4" s="6" t="inlineStr">
        <is>
          <t>Iniciar sesión con correo y clave segura, con sesión persistente</t>
        </is>
      </c>
      <c r="C4" s="6" t="inlineStr">
        <is>
          <t>Alta</t>
        </is>
      </c>
      <c r="D4" s="6" t="inlineStr">
        <is>
          <t>CU-02</t>
        </is>
      </c>
      <c r="E4" s="6" t="inlineStr">
        <is>
          <t>DA-01, DS-02, DE-01</t>
        </is>
      </c>
      <c r="F4" s="6" t="inlineStr">
        <is>
          <t>RNF-16</t>
        </is>
      </c>
      <c r="G4" s="6" t="inlineStr">
        <is>
          <t>Valores límite: 4 y 5 intentos fallidos; sesión en el día 29, 30 y 31; doble clic en el botón; cuenta pendiente</t>
        </is>
      </c>
      <c r="H4" s="6" t="inlineStr">
        <is>
          <t>USUARIO</t>
        </is>
      </c>
    </row>
    <row r="5">
      <c r="A5" s="6" t="inlineStr">
        <is>
          <t>RF-04</t>
        </is>
      </c>
      <c r="B5" s="6" t="inlineStr">
        <is>
          <t>Cerrar sesión</t>
        </is>
      </c>
      <c r="C5" s="6" t="inlineStr">
        <is>
          <t>Media</t>
        </is>
      </c>
      <c r="D5" s="6" t="inlineStr">
        <is>
          <t>CU-02</t>
        </is>
      </c>
      <c r="E5" s="6" t="inlineStr">
        <is>
          <t>DA-01, DS-02</t>
        </is>
      </c>
      <c r="F5" s="6" t="inlineStr">
        <is>
          <t>RNF-11, RNF-15</t>
        </is>
      </c>
      <c r="G5" s="6" t="inlineStr">
        <is>
          <t>Caja negra: cerrar sesión con registros PENDIENTES conserva los datos locales y avisa la cantidad</t>
        </is>
      </c>
      <c r="H5" s="6" t="inlineStr">
        <is>
          <t>USUARIO (sesión)</t>
        </is>
      </c>
    </row>
    <row r="6">
      <c r="A6" s="6" t="inlineStr">
        <is>
          <t>RF-07</t>
        </is>
      </c>
      <c r="B6" s="6" t="inlineStr">
        <is>
          <t>Mostrar el panel de control del agricultor</t>
        </is>
      </c>
      <c r="C6" s="6" t="inlineStr">
        <is>
          <t>Alta</t>
        </is>
      </c>
      <c r="D6" s="6" t="inlineStr">
        <is>
          <t>CU-07</t>
        </is>
      </c>
      <c r="E6" s="6" t="inlineStr">
        <is>
          <t>DA-01, DA-02</t>
        </is>
      </c>
      <c r="F6" s="6" t="inlineStr">
        <is>
          <t>RNF-07</t>
        </is>
      </c>
      <c r="G6" s="6" t="inlineStr">
        <is>
          <t>Caja negra: panel vacío con bienvenida; panel con indicadores; indicador de conexión</t>
        </is>
      </c>
      <c r="H6" s="6" t="inlineStr">
        <is>
          <t>(pantalla)</t>
        </is>
      </c>
    </row>
    <row r="7">
      <c r="A7" s="6" t="inlineStr">
        <is>
          <t>RF-12</t>
        </is>
      </c>
      <c r="B7" s="6" t="inlineStr">
        <is>
          <t>Registrar finca</t>
        </is>
      </c>
      <c r="C7" s="6" t="inlineStr">
        <is>
          <t>Alta</t>
        </is>
      </c>
      <c r="D7" s="6" t="inlineStr">
        <is>
          <t>CU-06</t>
        </is>
      </c>
      <c r="E7" s="6" t="inlineStr">
        <is>
          <t>DA-02, DC-01, MER</t>
        </is>
      </c>
      <c r="F7" s="6" t="inlineStr">
        <is>
          <t>RNF-09, RNF-22</t>
        </is>
      </c>
      <c r="G7" s="6" t="inlineStr">
        <is>
          <t>Caja negra: crear una finca con nombre válido; nombre basura (0, aaaaa) rechazado; una finca no se elimina (E-11); el registro sin conexión queda pendiente</t>
        </is>
      </c>
      <c r="H7" s="6" t="inlineStr">
        <is>
          <t>FINCA</t>
        </is>
      </c>
    </row>
    <row r="8">
      <c r="A8" s="6" t="inlineStr">
        <is>
          <t>RF-13</t>
        </is>
      </c>
      <c r="B8" s="6" t="inlineStr">
        <is>
          <t>Definir el área real del ciclo</t>
        </is>
      </c>
      <c r="C8" s="6" t="inlineStr">
        <is>
          <t>Media</t>
        </is>
      </c>
      <c r="D8" s="6" t="inlineStr">
        <is>
          <t>CU-06</t>
        </is>
      </c>
      <c r="E8" s="6" t="inlineStr">
        <is>
          <t>DA-02, DC-01</t>
        </is>
      </c>
      <c r="F8" s="6" t="inlineStr">
        <is>
          <t>RNF-22</t>
        </is>
      </c>
      <c r="G8" s="6" t="inlineStr">
        <is>
          <t>Valores límite: no sembrable = bruta − 0,0001 / = bruta / &gt; bruta; conversión 1 plaza = 0,64 ha</t>
        </is>
      </c>
      <c r="H8" s="6" t="inlineStr">
        <is>
          <t>CICLO</t>
        </is>
      </c>
    </row>
    <row r="9">
      <c r="A9" s="6" t="inlineStr">
        <is>
          <t>RF-14</t>
        </is>
      </c>
      <c r="B9" s="6" t="inlineStr">
        <is>
          <t>Registrar un ciclo de cultivo</t>
        </is>
      </c>
      <c r="C9" s="6" t="inlineStr">
        <is>
          <t>Alta</t>
        </is>
      </c>
      <c r="D9" s="6" t="inlineStr">
        <is>
          <t>CU-06</t>
        </is>
      </c>
      <c r="E9" s="6" t="inlineStr">
        <is>
          <t>DA-02, DE-02, MER</t>
        </is>
      </c>
      <c r="F9" s="6" t="inlineStr">
        <is>
          <t>RNF-01, RNF-11</t>
        </is>
      </c>
      <c r="G9" s="6" t="inlineStr">
        <is>
          <t>Valores límite del área (0,0001 / 0,00009 / 10.000 / 10.000,0001 ha) y de la vigencia (0 / 1 / 50 / 51 años); caja negra: ciclo sin cultivo se rechaza, varios cultivos por ciclo, cultivo repetido rechazado (V-50); semáforo de vigencia; estado inicial ACTIVO</t>
        </is>
      </c>
      <c r="H9" s="6" t="inlineStr">
        <is>
          <t>CICLO, CICLO_CULTIVO</t>
        </is>
      </c>
    </row>
    <row r="10">
      <c r="A10" s="6" t="inlineStr">
        <is>
          <t>RF-15</t>
        </is>
      </c>
      <c r="B10" s="6" t="inlineStr">
        <is>
          <t>Cerrar un ciclo de cultivo</t>
        </is>
      </c>
      <c r="C10" s="6" t="inlineStr">
        <is>
          <t>Alta</t>
        </is>
      </c>
      <c r="D10" s="6" t="inlineStr">
        <is>
          <t>CU-06</t>
        </is>
      </c>
      <c r="E10" s="6" t="inlineStr">
        <is>
          <t>DA-02, DE-02</t>
        </is>
      </c>
      <c r="F10" s="6" t="inlineStr">
        <is>
          <t>RNF-09, RNF-11</t>
        </is>
      </c>
      <c r="G10" s="6" t="inlineStr">
        <is>
          <t>Tabla de decisión: cierre con/sin ingresos; fecha de cierre anterior a la siembra rechazada</t>
        </is>
      </c>
      <c r="H10" s="6" t="inlineStr">
        <is>
          <t>CICLO</t>
        </is>
      </c>
    </row>
    <row r="11">
      <c r="A11" s="6" t="inlineStr">
        <is>
          <t>RF-17</t>
        </is>
      </c>
      <c r="B11" s="6" t="inlineStr">
        <is>
          <t>Consultar el catálogo de cultivos y distancias</t>
        </is>
      </c>
      <c r="C11" s="6" t="inlineStr">
        <is>
          <t>Alta</t>
        </is>
      </c>
      <c r="D11" s="6" t="inlineStr">
        <is>
          <t>CU-03</t>
        </is>
      </c>
      <c r="E11" s="6" t="inlineStr">
        <is>
          <t>DA-02, DS-03</t>
        </is>
      </c>
      <c r="F11" s="6" t="inlineStr">
        <is>
          <t>RNF-10</t>
        </is>
      </c>
      <c r="G11" s="6" t="inlineStr">
        <is>
          <t>Caja negra: catálogo y fichas técnicas disponibles sin conexión después de la primera carga</t>
        </is>
      </c>
      <c r="H11" s="6" t="inlineStr">
        <is>
          <t>CULTIVO, FICHA_TECNICA</t>
        </is>
      </c>
    </row>
    <row r="12">
      <c r="A12" s="6" t="inlineStr">
        <is>
          <t>RF-18</t>
        </is>
      </c>
      <c r="B12" s="6" t="inlineStr">
        <is>
          <t>Calcular matas por hectárea y advertir distancias fuera de rango</t>
        </is>
      </c>
      <c r="C12" s="6" t="inlineStr">
        <is>
          <t>Alta</t>
        </is>
      </c>
      <c r="D12" s="6" t="inlineStr">
        <is>
          <t>CU-03</t>
        </is>
      </c>
      <c r="E12" s="6" t="inlineStr">
        <is>
          <t>DA-02, DS-03, DC-01</t>
        </is>
      </c>
      <c r="F12" s="6" t="inlineStr">
        <is>
          <t>RNF-01, RNF-22</t>
        </is>
      </c>
      <c r="G12" s="6" t="inlineStr">
        <is>
          <t>Valores oráculo: cuadrado d=1 → 10.000; rectangular 2×1,5 → 3.333,33; tresbolillo d=3 → 1.283,0012; advertencia fuera de rango</t>
        </is>
      </c>
      <c r="H12" s="6" t="inlineStr">
        <is>
          <t>CalculadoraDensidad</t>
        </is>
      </c>
    </row>
    <row r="13">
      <c r="A13" s="6" t="inlineStr">
        <is>
          <t>RF-23</t>
        </is>
      </c>
      <c r="B13" s="6" t="inlineStr">
        <is>
          <t>Registrar un gasto</t>
        </is>
      </c>
      <c r="C13" s="6" t="inlineStr">
        <is>
          <t>Alta</t>
        </is>
      </c>
      <c r="D13" s="6" t="inlineStr">
        <is>
          <t>CU-04</t>
        </is>
      </c>
      <c r="E13" s="6" t="inlineStr">
        <is>
          <t>DA-02, DS-04, MER</t>
        </is>
      </c>
      <c r="F13" s="6" t="inlineStr">
        <is>
          <t>RNF-10, RNF-11</t>
        </is>
      </c>
      <c r="G13" s="6" t="inlineStr">
        <is>
          <t>Valores límite del monto: 0 / 1 / 50.000.000 / 50.000.001 COP; '1e5' y '-5' rechazados</t>
        </is>
      </c>
      <c r="H13" s="6" t="inlineStr">
        <is>
          <t>GASTO</t>
        </is>
      </c>
    </row>
    <row r="14">
      <c r="A14" s="6" t="inlineStr">
        <is>
          <t>RF-24</t>
        </is>
      </c>
      <c r="B14" s="6" t="inlineStr">
        <is>
          <t>Registrar jornales</t>
        </is>
      </c>
      <c r="C14" s="6" t="inlineStr">
        <is>
          <t>Alta</t>
        </is>
      </c>
      <c r="D14" s="6" t="inlineStr">
        <is>
          <t>CU-04</t>
        </is>
      </c>
      <c r="E14" s="6" t="inlineStr">
        <is>
          <t>DA-02, DS-04, MER</t>
        </is>
      </c>
      <c r="F14" s="6" t="inlineStr">
        <is>
          <t>RNF-22</t>
        </is>
      </c>
      <c r="G14" s="6" t="inlineStr">
        <is>
          <t>Valores límite: 0,4 / 0,5 / 1,25 (inválido) / 999 / 999,5 jornales; total = jornales × valor</t>
        </is>
      </c>
      <c r="H14" s="6" t="inlineStr">
        <is>
          <t>JORNAL</t>
        </is>
      </c>
    </row>
    <row r="15">
      <c r="A15" s="6" t="inlineStr">
        <is>
          <t>RF-25</t>
        </is>
      </c>
      <c r="B15" s="6" t="inlineStr">
        <is>
          <t>Registrar un ingreso</t>
        </is>
      </c>
      <c r="C15" s="6" t="inlineStr">
        <is>
          <t>Alta</t>
        </is>
      </c>
      <c r="D15" s="6" t="inlineStr">
        <is>
          <t>CU-04</t>
        </is>
      </c>
      <c r="E15" s="6" t="inlineStr">
        <is>
          <t>DA-02, DS-04, MER</t>
        </is>
      </c>
      <c r="F15" s="6" t="inlineStr">
        <is>
          <t>RNF-22</t>
        </is>
      </c>
      <c r="G15" s="6" t="inlineStr">
        <is>
          <t>Valores límite de la cantidad: 0,09 / 0,1 / 10.000 / 10.001; precio 0 / 1 / 50.000.000 / 50.000.001</t>
        </is>
      </c>
      <c r="H15" s="6" t="inlineStr">
        <is>
          <t>INGRESO</t>
        </is>
      </c>
    </row>
    <row r="16">
      <c r="A16" s="6" t="inlineStr">
        <is>
          <t>RF-27</t>
        </is>
      </c>
      <c r="B16" s="6" t="inlineStr">
        <is>
          <t>Editar y eliminar registros</t>
        </is>
      </c>
      <c r="C16" s="6" t="inlineStr">
        <is>
          <t>Alta</t>
        </is>
      </c>
      <c r="D16" s="6" t="inlineStr">
        <is>
          <t>CU-04</t>
        </is>
      </c>
      <c r="E16" s="6" t="inlineStr">
        <is>
          <t>DA-02, DS-04</t>
        </is>
      </c>
      <c r="F16" s="6" t="inlineStr">
        <is>
          <t>RNF-09, RNF-11</t>
        </is>
      </c>
      <c r="G16" s="6" t="inlineStr">
        <is>
          <t>Caja negra: eliminar y deshacer a los 9 / 10 / 11 s; recálculo de saldos</t>
        </is>
      </c>
      <c r="H16" s="6" t="inlineStr">
        <is>
          <t>GASTO, JORNAL, INGRESO</t>
        </is>
      </c>
    </row>
    <row r="17">
      <c r="A17" s="6" t="inlineStr">
        <is>
          <t>RF-28</t>
        </is>
      </c>
      <c r="B17" s="6" t="inlineStr">
        <is>
          <t>Calcular la utilidad automáticamente</t>
        </is>
      </c>
      <c r="C17" s="6" t="inlineStr">
        <is>
          <t>Alta</t>
        </is>
      </c>
      <c r="D17" s="6" t="inlineStr">
        <is>
          <t>CU-07</t>
        </is>
      </c>
      <c r="E17" s="6" t="inlineStr">
        <is>
          <t>DA-02, DS-04</t>
        </is>
      </c>
      <c r="F17" s="6" t="inlineStr">
        <is>
          <t>RNF-01, RNF-22</t>
        </is>
      </c>
      <c r="G17" s="6" t="inlineStr">
        <is>
          <t>Valores oráculo: 1.000.000 − 600.000 = 400.000 (66,67 %); gastos 0 → rentabilidad 0,0 %; estimado de costos con la ficha técnica y semáforo de vigencia en el resumen</t>
        </is>
      </c>
      <c r="H17" s="6" t="inlineStr">
        <is>
          <t>Ciclo.utilidad()</t>
        </is>
      </c>
    </row>
    <row r="18">
      <c r="A18" s="6" t="inlineStr">
        <is>
          <t>RF-35</t>
        </is>
      </c>
      <c r="B18" s="6" t="inlineStr">
        <is>
          <t>Operar sin conexión</t>
        </is>
      </c>
      <c r="C18" s="6" t="inlineStr">
        <is>
          <t>Alta</t>
        </is>
      </c>
      <c r="D18" s="6" t="inlineStr">
        <is>
          <t>CU-04</t>
        </is>
      </c>
      <c r="E18" s="6" t="inlineStr">
        <is>
          <t>DA-03, DE-03, DS-04, DCP-01</t>
        </is>
      </c>
      <c r="F18" s="6" t="inlineStr">
        <is>
          <t>RNF-10</t>
        </is>
      </c>
      <c r="G18" s="6" t="inlineStr">
        <is>
          <t>Caja negra: modo avión → registrar → cerrar pestaña → reabrir: 0 % de pérdida</t>
        </is>
      </c>
      <c r="H18" s="6" t="inlineStr">
        <is>
          <t>IndexedDB (envoltorio propio)</t>
        </is>
      </c>
    </row>
    <row r="19">
      <c r="A19" s="6" t="inlineStr">
        <is>
          <t>RF-36</t>
        </is>
      </c>
      <c r="B19" s="6" t="inlineStr">
        <is>
          <t>Sincronizar los datos</t>
        </is>
      </c>
      <c r="C19" s="6" t="inlineStr">
        <is>
          <t>Alta</t>
        </is>
      </c>
      <c r="D19" s="6" t="inlineStr">
        <is>
          <t>CU-04</t>
        </is>
      </c>
      <c r="E19" s="6" t="inlineStr">
        <is>
          <t>DA-03, DE-03, DS-04</t>
        </is>
      </c>
      <c r="F19" s="6" t="inlineStr">
        <is>
          <t>RNF-11</t>
        </is>
      </c>
      <c r="G19" s="6" t="inlineStr">
        <is>
          <t>Caso: corte a mitad del envío → sin duplicados (uuid); conflicto: gana el updated_at más reciente</t>
        </is>
      </c>
      <c r="H19" s="6" t="inlineStr">
        <is>
          <t>SincronizadorOffline</t>
        </is>
      </c>
    </row>
    <row r="20">
      <c r="A20" s="6" t="inlineStr">
        <is>
          <t>RF-37</t>
        </is>
      </c>
      <c r="B20" s="6" t="inlineStr">
        <is>
          <t>Carga inicial de datos semilla del catálogo agrícola del Cauca</t>
        </is>
      </c>
      <c r="C20" s="6" t="inlineStr">
        <is>
          <t>Alta</t>
        </is>
      </c>
      <c r="D20" s="6" t="inlineStr">
        <is>
          <t>CU-05</t>
        </is>
      </c>
      <c r="E20" s="6" t="inlineStr">
        <is>
          <t>MER, DCP-01, DS-05</t>
        </is>
      </c>
      <c r="F20" s="6" t="inlineStr">
        <is>
          <t>RNF-05</t>
        </is>
      </c>
      <c r="G20" s="6" t="inlineStr">
        <is>
          <t>Caja negra: los 3 cultivos semilla con su ficha técnica existen en MySQL y en IndexedDB; cargar dos veces no duplica</t>
        </is>
      </c>
      <c r="H20" s="6" t="inlineStr">
        <is>
          <t>CULTIVO, FICHA_TECNICA</t>
        </is>
      </c>
    </row>
  </sheetData>
  <autoFilter ref="A1:H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6" customWidth="1" min="2" max="2"/>
    <col width="26" customWidth="1" min="3" max="3"/>
    <col width="52" customWidth="1" min="4" max="4"/>
    <col width="52" customWidth="1" min="5" max="5"/>
    <col width="9" customWidth="1" min="6" max="6"/>
  </cols>
  <sheetData>
    <row r="1">
      <c r="A1" s="5" t="inlineStr">
        <is>
          <t>ID</t>
        </is>
      </c>
      <c r="B1" s="5" t="inlineStr">
        <is>
          <t>Requisito</t>
        </is>
      </c>
      <c r="C1" s="5" t="inlineStr">
        <is>
          <t>Característica ISO/IEC 25010 (norma de calidad)</t>
        </is>
      </c>
      <c r="D1" s="5" t="inlineStr">
        <is>
          <t>Criterio de aceptación</t>
        </is>
      </c>
      <c r="E1" s="5" t="inlineStr">
        <is>
          <t>Método de verificación</t>
        </is>
      </c>
      <c r="F1" s="5" t="inlineStr">
        <is>
          <t>Prioridad</t>
        </is>
      </c>
    </row>
    <row r="2">
      <c r="A2" s="6" t="inlineStr">
        <is>
          <t>RNF-01</t>
        </is>
      </c>
      <c r="B2" s="6" t="inlineStr">
        <is>
          <t>Tiempo de respuesta de los cálculos</t>
        </is>
      </c>
      <c r="C2" s="6" t="inlineStr">
        <is>
          <t>Eficiencia de desempeño</t>
        </is>
      </c>
      <c r="D2" s="6" t="inlineStr">
        <is>
          <t>Tiempo de ejecución ≤ 2,0 s en el 95 % de las pruebas locales.</t>
        </is>
      </c>
      <c r="E2" s="6" t="inlineStr">
        <is>
          <t>Prueba de rendimiento (performance.now) en equipo de 2 GB de RAM</t>
        </is>
      </c>
      <c r="F2" s="6" t="inlineStr">
        <is>
          <t>Alta</t>
        </is>
      </c>
    </row>
    <row r="3">
      <c r="A3" s="6" t="inlineStr">
        <is>
          <t>RNF-05</t>
        </is>
      </c>
      <c r="B3" s="6" t="inlineStr">
        <is>
          <t>Facilidad de aprendizaje</t>
        </is>
      </c>
      <c r="C3" s="6" t="inlineStr">
        <is>
          <t>Usabilidad</t>
        </is>
      </c>
      <c r="D3" s="6" t="inlineStr">
        <is>
          <t>Tasa de éxito ≥ 90 % en pruebas de usabilidad con productores rurales.</t>
        </is>
      </c>
      <c r="E3" s="6" t="inlineStr">
        <is>
          <t>Prueba de usabilidad con al menos 5 agricultores</t>
        </is>
      </c>
      <c r="F3" s="6" t="inlineStr">
        <is>
          <t>Alta</t>
        </is>
      </c>
    </row>
    <row r="4">
      <c r="A4" s="6" t="inlineStr">
        <is>
          <t>RNF-07</t>
        </is>
      </c>
      <c r="B4" s="6" t="inlineStr">
        <is>
          <t>Legibilidad y accesibilidad visual</t>
        </is>
      </c>
      <c r="C4" s="6" t="inlineStr">
        <is>
          <t>Usabilidad (accesibilidad)</t>
        </is>
      </c>
      <c r="D4" s="6" t="inlineStr">
        <is>
          <t>Cumplimiento de WCAG 2.1 AA en todas las pantallas.</t>
        </is>
      </c>
      <c r="E4" s="6" t="inlineStr">
        <is>
          <t>Lighthouse de accesibilidad y revisión WCAG 2.1 AA</t>
        </is>
      </c>
      <c r="F4" s="6" t="inlineStr">
        <is>
          <t>Alta</t>
        </is>
      </c>
    </row>
    <row r="5">
      <c r="A5" s="6" t="inlineStr">
        <is>
          <t>RNF-09</t>
        </is>
      </c>
      <c r="B5" s="6" t="inlineStr">
        <is>
          <t>Prevención de errores, sanitización y validación estricta de entradas (Anti-Basura, Anti-XSS y Anti-SQLi)</t>
        </is>
      </c>
      <c r="C5" s="6" t="inlineStr">
        <is>
          <t>Seguridad</t>
        </is>
      </c>
      <c r="D5" s="6" t="inlineStr">
        <is>
          <t>100% de los formularios protegidos con Trim(), lista blanca Regex, anti-monotonía, debouncing y validación estricta cliente/servidor.</t>
        </is>
      </c>
      <c r="E5" s="6" t="inlineStr">
        <is>
          <t>Caja negra de formularios y escaneo OWASP ZAP</t>
        </is>
      </c>
      <c r="F5" s="6" t="inlineStr">
        <is>
          <t>Alta</t>
        </is>
      </c>
    </row>
    <row r="6">
      <c r="A6" s="6" t="inlineStr">
        <is>
          <t>RNF-10</t>
        </is>
      </c>
      <c r="B6" s="6" t="inlineStr">
        <is>
          <t>Disponibilidad</t>
        </is>
      </c>
      <c r="C6" s="6" t="inlineStr">
        <is>
          <t>Fiabilidad (disponibilidad)</t>
        </is>
      </c>
      <c r="D6" s="6" t="inlineStr">
        <is>
          <t>100 % de funciones locales disponibles sin conexión; inactividad del servidor ≤ 7,2 horas al mes (SLA 99,0 %).</t>
        </is>
      </c>
      <c r="E6" s="6" t="inlineStr">
        <is>
          <t>Prueba en modo sin conexión y monitoreo de disponibilidad</t>
        </is>
      </c>
      <c r="F6" s="6" t="inlineStr">
        <is>
          <t>Alta</t>
        </is>
      </c>
    </row>
    <row r="7">
      <c r="A7" s="6" t="inlineStr">
        <is>
          <t>RNF-11</t>
        </is>
      </c>
      <c r="B7" s="6" t="inlineStr">
        <is>
          <t>Tolerancia a fallos e integridad de datos</t>
        </is>
      </c>
      <c r="C7" s="6" t="inlineStr">
        <is>
          <t>Fiabilidad (tolerancia a fallos)</t>
        </is>
      </c>
      <c r="D7" s="6" t="inlineStr">
        <is>
          <t>0 % de pérdida de registros locales confirmados; 0 % de registros duplicados o corruptos tras una interrupción de red.</t>
        </is>
      </c>
      <c r="E7" s="6" t="inlineStr">
        <is>
          <t>Cierre abrupto y corte de red durante la sincronización</t>
        </is>
      </c>
      <c r="F7" s="6" t="inlineStr">
        <is>
          <t>Alta</t>
        </is>
      </c>
    </row>
    <row r="8">
      <c r="A8" s="6" t="inlineStr">
        <is>
          <t>RNF-14</t>
        </is>
      </c>
      <c r="B8" s="6" t="inlineStr">
        <is>
          <t>Confidencialidad de la información y sanitización de consultas (Anti-SQLi y Anti-XSS)</t>
        </is>
      </c>
      <c r="C8" s="6" t="inlineStr">
        <is>
          <t>Seguridad (confidencialidad)</t>
        </is>
      </c>
      <c r="D8" s="6" t="inlineStr">
        <is>
          <t>0% de vulnerabilidades SQLi/XSS y 100% de tráfico cifrado bajo HTTPS/TLS 1.2+.</t>
        </is>
      </c>
      <c r="E8" s="6" t="inlineStr">
        <is>
          <t>SSL Labs y OWASP ZAP; revisión de consultas ORM</t>
        </is>
      </c>
      <c r="F8" s="6" t="inlineStr">
        <is>
          <t>Alta</t>
        </is>
      </c>
    </row>
    <row r="9">
      <c r="A9" s="6" t="inlineStr">
        <is>
          <t>RNF-15</t>
        </is>
      </c>
      <c r="B9" s="6" t="inlineStr">
        <is>
          <t>Control de acceso y aislamiento de datos</t>
        </is>
      </c>
      <c r="C9" s="6" t="inlineStr">
        <is>
          <t>Seguridad (autenticidad)</t>
        </is>
      </c>
      <c r="D9" s="6" t="inlineStr">
        <is>
          <t>Bloqueo del 100 % de las peticiones no autorizadas; 0 % de datos identificables en reportes agregados.</t>
        </is>
      </c>
      <c r="E9" s="6" t="inlineStr">
        <is>
          <t>Pruebas de autorización por rol y revisión de los servicios de administración (AD)</t>
        </is>
      </c>
      <c r="F9" s="6" t="inlineStr">
        <is>
          <t>Alta</t>
        </is>
      </c>
    </row>
    <row r="10">
      <c r="A10" s="6" t="inlineStr">
        <is>
          <t>RNF-16</t>
        </is>
      </c>
      <c r="B10" s="6" t="inlineStr">
        <is>
          <t>Política de contraseñas seguras (Estándar OWASP ASVS / ISO 27001)</t>
        </is>
      </c>
      <c r="C10" s="6" t="inlineStr">
        <is>
          <t>Seguridad</t>
        </is>
      </c>
      <c r="D10" s="6" t="inlineStr">
        <is>
          <t>Rechazo automático en cliente y servidor del 100% de contraseñas que no cumplan la política OWASP ASVS / ISO 27001.</t>
        </is>
      </c>
      <c r="E10" s="6" t="inlineStr">
        <is>
          <t>Particiones de equivalencia y valores límite sobre claves</t>
        </is>
      </c>
      <c r="F10" s="6" t="inlineStr">
        <is>
          <t>Alta</t>
        </is>
      </c>
    </row>
    <row r="11">
      <c r="A11" s="6" t="inlineStr">
        <is>
          <t>RNF-17</t>
        </is>
      </c>
      <c r="B11" s="6" t="inlineStr">
        <is>
          <t>Protección de datos personales</t>
        </is>
      </c>
      <c r="C11" s="6" t="inlineStr">
        <is>
          <t>Seguridad / cumplimiento legal</t>
        </is>
      </c>
      <c r="D11" s="6" t="inlineStr">
        <is>
          <t>Consentimiento registrado obligatoriamente en el proceso de creación de cuenta.</t>
        </is>
      </c>
      <c r="E11" s="6" t="inlineStr">
        <is>
          <t>Registro de cuenta sin aceptar el tratamiento de datos</t>
        </is>
      </c>
      <c r="F11" s="6" t="inlineStr">
        <is>
          <t>Alta</t>
        </is>
      </c>
    </row>
    <row r="12">
      <c r="A12" s="6" t="inlineStr">
        <is>
          <t>RNF-22</t>
        </is>
      </c>
      <c r="B12" s="6" t="inlineStr">
        <is>
          <t>Exactitud de los cálculos</t>
        </is>
      </c>
      <c r="C12" s="6" t="inlineStr">
        <is>
          <t>Adecuación funcional (exactitud)</t>
        </is>
      </c>
      <c r="D12" s="6" t="inlineStr">
        <is>
          <t>Error relativo ≤ 0,0001 % frente a las fórmulas teóricas.</t>
        </is>
      </c>
      <c r="E12" s="6" t="inlineStr">
        <is>
          <t>Pruebas unitarias con valores oráculo</t>
        </is>
      </c>
      <c r="F12" s="6" t="inlineStr">
        <is>
          <t>Alta</t>
        </is>
      </c>
    </row>
    <row r="13">
      <c r="A13" s="6" t="inlineStr">
        <is>
          <t>RNF-25</t>
        </is>
      </c>
      <c r="B13" s="6" t="inlineStr">
        <is>
          <t>Manejo Humanizado de Errores y Protección de Trazas Técnicas (UX y Ciberseguridad)</t>
        </is>
      </c>
      <c r="C13" s="6" t="inlineStr">
        <is>
          <t>Seguridad / usabilidad</t>
        </is>
      </c>
      <c r="D13" s="6" t="inlineStr">
        <is>
          <t>0% de trazas técnicas expuestas en interfaz y 100% de mensajes de error traducidos a lenguaje claro.</t>
        </is>
      </c>
      <c r="E13" s="6" t="inlineStr">
        <is>
          <t>Error forzado (500, SQL, red) y revisión de mensajes</t>
        </is>
      </c>
      <c r="F13" s="6" t="inlineStr">
        <is>
          <t>Alta</t>
        </is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8" customWidth="1" min="3" max="3"/>
    <col width="28" customWidth="1" min="4" max="4"/>
    <col width="60" customWidth="1" min="5" max="5"/>
    <col width="26" customWidth="1" min="6" max="6"/>
    <col width="26" customWidth="1" min="7" max="7"/>
    <col width="60" customWidth="1" min="8" max="8"/>
  </cols>
  <sheetData>
    <row r="1">
      <c r="A1" s="5" t="inlineStr">
        <is>
          <t>ID</t>
        </is>
      </c>
      <c r="B1" s="5" t="inlineStr">
        <is>
          <t>RF</t>
        </is>
      </c>
      <c r="C1" s="5" t="inlineStr">
        <is>
          <t>Pantalla</t>
        </is>
      </c>
      <c r="D1" s="5" t="inlineStr">
        <is>
          <t>Campo</t>
        </is>
      </c>
      <c r="E1" s="5" t="inlineStr">
        <is>
          <t>Regla</t>
        </is>
      </c>
      <c r="F1" s="5" t="inlineStr">
        <is>
          <t>Ejemplo válido</t>
        </is>
      </c>
      <c r="G1" s="5" t="inlineStr">
        <is>
          <t>Ejemplo inválido</t>
        </is>
      </c>
      <c r="H1" s="5" t="inlineStr">
        <is>
          <t>Mensaje de error</t>
        </is>
      </c>
    </row>
    <row r="2">
      <c r="A2" s="6" t="inlineStr">
        <is>
          <t>V-01</t>
        </is>
      </c>
      <c r="B2" s="6" t="inlineStr">
        <is>
          <t>RF-02</t>
        </is>
      </c>
      <c r="C2" s="6" t="inlineStr">
        <is>
          <t>Registro</t>
        </is>
      </c>
      <c r="D2" s="6" t="inlineStr">
        <is>
          <t>Nombre</t>
        </is>
      </c>
      <c r="E2" s="6" t="inlineStr">
        <is>
          <t>2 a 60 caracteres; solo letras (con tildes y ñ), espacios, punto y guion; sin más de 3 caracteres iguales seguidos; no se aceptan datos basura ('0', '123', 'test')</t>
        </is>
      </c>
      <c r="F2" s="6" t="inlineStr">
        <is>
          <t>María Pérez</t>
        </is>
      </c>
      <c r="G2" s="6" t="inlineStr">
        <is>
          <t>aaaaa</t>
        </is>
      </c>
      <c r="H2" s="6" t="inlineStr">
        <is>
          <t>Escriba su nombre completo con letras (entre 2 y 60 caracteres).</t>
        </is>
      </c>
    </row>
    <row r="3">
      <c r="A3" s="6" t="inlineStr">
        <is>
          <t>V-02</t>
        </is>
      </c>
      <c r="B3" s="6" t="inlineStr">
        <is>
          <t>RF-02</t>
        </is>
      </c>
      <c r="C3" s="6" t="inlineStr">
        <is>
          <t>Registro</t>
        </is>
      </c>
      <c r="D3" s="6" t="inlineStr">
        <is>
          <t>Ubicación</t>
        </is>
      </c>
      <c r="E3" s="6" t="inlineStr">
        <is>
          <t>3 a 60 caracteres con las mismas reglas de caracteres que el nombre</t>
        </is>
      </c>
      <c r="F3" s="6" t="inlineStr">
        <is>
          <t>Caloto, Cauca</t>
        </is>
      </c>
      <c r="G3" s="6" t="inlineStr">
        <is>
          <t>0</t>
        </is>
      </c>
      <c r="H3" s="6" t="inlineStr">
        <is>
          <t>Escriba el municipio o la vereda (entre 3 y 60 caracteres).</t>
        </is>
      </c>
    </row>
    <row r="4">
      <c r="A4" s="6" t="inlineStr">
        <is>
          <t>V-03</t>
        </is>
      </c>
      <c r="B4" s="6" t="inlineStr">
        <is>
          <t>RF-02</t>
        </is>
      </c>
      <c r="C4" s="6" t="inlineStr">
        <is>
          <t>Registro</t>
        </is>
      </c>
      <c r="D4" s="6" t="inlineStr">
        <is>
          <t>Correo</t>
        </is>
      </c>
      <c r="E4" s="6" t="inlineStr">
        <is>
          <t>Formato RFC 5322 (por ejemplo nombre@correo.com) de hasta 254 caracteres; no distingue mayúsculas de minúsculas, por eso se guarda y se compara en minúsculas</t>
        </is>
      </c>
      <c r="F4" s="6" t="inlineStr">
        <is>
          <t>Maria@Correo.com</t>
        </is>
      </c>
      <c r="G4" s="6" t="inlineStr">
        <is>
          <t>0@0</t>
        </is>
      </c>
      <c r="H4" s="6" t="inlineStr">
        <is>
          <t>Escriba un correo válido, por ejemplo nombre@correo.com.</t>
        </is>
      </c>
    </row>
    <row r="5">
      <c r="A5" s="6" t="inlineStr">
        <is>
          <t>V-04</t>
        </is>
      </c>
      <c r="B5" s="6" t="inlineStr">
        <is>
          <t>RF-02</t>
        </is>
      </c>
      <c r="C5" s="6" t="inlineStr">
        <is>
          <t>Registro</t>
        </is>
      </c>
      <c r="D5" s="6" t="inlineStr">
        <is>
          <t>Confirmar correo</t>
        </is>
      </c>
      <c r="E5" s="6" t="inlineStr">
        <is>
          <t>Debe ser idéntico al correo, sin distinguir mayúsculas de minúsculas</t>
        </is>
      </c>
      <c r="F5" s="6" t="inlineStr">
        <is>
          <t>maria@correo.com</t>
        </is>
      </c>
      <c r="G5" s="6" t="inlineStr">
        <is>
          <t>maria@correo.co</t>
        </is>
      </c>
      <c r="H5" s="6" t="inlineStr">
        <is>
          <t>Los dos correos no coinciden.</t>
        </is>
      </c>
    </row>
    <row r="6">
      <c r="A6" s="6" t="inlineStr">
        <is>
          <t>V-05</t>
        </is>
      </c>
      <c r="B6" s="6" t="inlineStr">
        <is>
          <t>RF-02</t>
        </is>
      </c>
      <c r="C6" s="6" t="inlineStr">
        <is>
          <t>Registro</t>
        </is>
      </c>
      <c r="D6" s="6" t="inlineStr">
        <is>
          <t>Correo ya usado por una cuenta activa</t>
        </is>
      </c>
      <c r="E6" s="6" t="inlineStr">
        <is>
          <t>El correo no puede estar registrado</t>
        </is>
      </c>
      <c r="F6" s="6" t="inlineStr">
        <is>
          <t>ana@correo.com (nuevo)</t>
        </is>
      </c>
      <c r="G6" s="6" t="inlineStr">
        <is>
          <t>maria@correo.com (ya activo)</t>
        </is>
      </c>
      <c r="H6" s="6" t="inlineStr">
        <is>
          <t>Este correo ya está registrado. Inicie sesión.</t>
        </is>
      </c>
    </row>
    <row r="7">
      <c r="A7" s="6" t="inlineStr">
        <is>
          <t>V-06</t>
        </is>
      </c>
      <c r="B7" s="6" t="inlineStr">
        <is>
          <t>RF-02</t>
        </is>
      </c>
      <c r="C7" s="6" t="inlineStr">
        <is>
          <t>Registro</t>
        </is>
      </c>
      <c r="D7" s="6" t="inlineStr">
        <is>
          <t>Correo con cuenta pendiente</t>
        </is>
      </c>
      <c r="E7" s="6" t="inlineStr">
        <is>
          <t>Si la cuenta pendiente tiene menos de 24 horas, no se crea otra</t>
        </is>
      </c>
      <c r="F7" s="6" t="inlineStr">
        <is>
          <t>—</t>
        </is>
      </c>
      <c r="G7" s="6" t="inlineStr">
        <is>
          <t>maria@correo.com (pendiente)</t>
        </is>
      </c>
      <c r="H7" s="6" t="inlineStr">
        <is>
          <t>Este correo tiene una cuenta pendiente de activar. Revise su correo o intente de nuevo después de 24 horas.</t>
        </is>
      </c>
    </row>
    <row r="8">
      <c r="A8" s="6" t="inlineStr">
        <is>
          <t>V-07</t>
        </is>
      </c>
      <c r="B8" s="6" t="inlineStr">
        <is>
          <t>RF-02</t>
        </is>
      </c>
      <c r="C8" s="6" t="inlineStr">
        <is>
          <t>Registro</t>
        </is>
      </c>
      <c r="D8" s="6" t="inlineStr">
        <is>
          <t>Clave</t>
        </is>
      </c>
      <c r="E8" s="6" t="inlineStr">
        <is>
          <t>De 10 a 64 caracteres, solo letras sin tilde, números y símbolos; debe tener mayúscula, minúscula, número y al menos un símbolo de la lista !@#$%^&amp;*()_+-=[]{}|;:,.&lt;&gt;?; sin espacios, sin secuencias simples ni partes del correo o del nombre</t>
        </is>
      </c>
      <c r="F8" s="6" t="inlineStr">
        <is>
          <t>Cafe#Cauca2026</t>
        </is>
      </c>
      <c r="G8" s="6" t="inlineStr">
        <is>
          <t>abcdefghij</t>
        </is>
      </c>
      <c r="H8" s="6" t="inlineStr">
        <is>
          <t>La clave debe tener de 10 a 64 caracteres, con mayúscula, minúscula, número y símbolo (sin espacios ni tildes).</t>
        </is>
      </c>
    </row>
    <row r="9">
      <c r="A9" s="6" t="inlineStr">
        <is>
          <t>V-08</t>
        </is>
      </c>
      <c r="B9" s="6" t="inlineStr">
        <is>
          <t>RF-02</t>
        </is>
      </c>
      <c r="C9" s="6" t="inlineStr">
        <is>
          <t>Registro</t>
        </is>
      </c>
      <c r="D9" s="6" t="inlineStr">
        <is>
          <t>Autorización de datos (Ley 1581)</t>
        </is>
      </c>
      <c r="E9" s="6" t="inlineStr">
        <is>
          <t>La casilla debe estar marcada</t>
        </is>
      </c>
      <c r="F9" s="6" t="inlineStr">
        <is>
          <t>Marcada</t>
        </is>
      </c>
      <c r="G9" s="6" t="inlineStr">
        <is>
          <t>Sin marcar</t>
        </is>
      </c>
      <c r="H9" s="6" t="inlineStr">
        <is>
          <t>Debe aceptar el tratamiento de datos personales para registrarse.</t>
        </is>
      </c>
    </row>
    <row r="10">
      <c r="A10" s="6" t="inlineStr">
        <is>
          <t>V-09</t>
        </is>
      </c>
      <c r="B10" s="6" t="inlineStr">
        <is>
          <t>RF-02</t>
        </is>
      </c>
      <c r="C10" s="6" t="inlineStr">
        <is>
          <t>Código OTP</t>
        </is>
      </c>
      <c r="D10" s="6" t="inlineStr">
        <is>
          <t>Formato del código</t>
        </is>
      </c>
      <c r="E10" s="6" t="inlineStr">
        <is>
          <t>Exactamente 6 dígitos</t>
        </is>
      </c>
      <c r="F10" s="6" t="inlineStr">
        <is>
          <t>482915</t>
        </is>
      </c>
      <c r="G10" s="6" t="inlineStr">
        <is>
          <t>48A</t>
        </is>
      </c>
      <c r="H10" s="6" t="inlineStr">
        <is>
          <t>Escriba los 6 dígitos del código.</t>
        </is>
      </c>
    </row>
    <row r="11">
      <c r="A11" s="6" t="inlineStr">
        <is>
          <t>V-10</t>
        </is>
      </c>
      <c r="B11" s="6" t="inlineStr">
        <is>
          <t>RF-02</t>
        </is>
      </c>
      <c r="C11" s="6" t="inlineStr">
        <is>
          <t>Código OTP</t>
        </is>
      </c>
      <c r="D11" s="6" t="inlineStr">
        <is>
          <t>Código incorrecto</t>
        </is>
      </c>
      <c r="E11" s="6" t="inlineStr">
        <is>
          <t>Hasta 5 intentos por código; muestra los intentos restantes</t>
        </is>
      </c>
      <c r="F11" s="6" t="inlineStr">
        <is>
          <t>Código enviado</t>
        </is>
      </c>
      <c r="G11" s="6" t="inlineStr">
        <is>
          <t>Código distinto al enviado</t>
        </is>
      </c>
      <c r="H11" s="6" t="inlineStr">
        <is>
          <t>Código incorrecto. Le quedan N intentos.</t>
        </is>
      </c>
    </row>
    <row r="12">
      <c r="A12" s="6" t="inlineStr">
        <is>
          <t>V-11</t>
        </is>
      </c>
      <c r="B12" s="6" t="inlineStr">
        <is>
          <t>RF-02</t>
        </is>
      </c>
      <c r="C12" s="6" t="inlineStr">
        <is>
          <t>Código OTP</t>
        </is>
      </c>
      <c r="D12" s="6" t="inlineStr">
        <is>
          <t>Código vencido</t>
        </is>
      </c>
      <c r="E12" s="6" t="inlineStr">
        <is>
          <t>Vale 15 minutos desde el envío</t>
        </is>
      </c>
      <c r="F12" s="6" t="inlineStr">
        <is>
          <t>A los 14 min 59 s</t>
        </is>
      </c>
      <c r="G12" s="6" t="inlineStr">
        <is>
          <t>A los 15 min 01 s</t>
        </is>
      </c>
      <c r="H12" s="6" t="inlineStr">
        <is>
          <t>El código venció. Pida uno nuevo.</t>
        </is>
      </c>
    </row>
    <row r="13">
      <c r="A13" s="6" t="inlineStr">
        <is>
          <t>V-12</t>
        </is>
      </c>
      <c r="B13" s="6" t="inlineStr">
        <is>
          <t>RF-02</t>
        </is>
      </c>
      <c r="C13" s="6" t="inlineStr">
        <is>
          <t>Código OTP</t>
        </is>
      </c>
      <c r="D13" s="6" t="inlineStr">
        <is>
          <t>Intentos agotados</t>
        </is>
      </c>
      <c r="E13" s="6" t="inlineStr">
        <is>
          <t>Al 5.º intento fallido el código se invalida</t>
        </is>
      </c>
      <c r="F13" s="6" t="inlineStr">
        <is>
          <t>—</t>
        </is>
      </c>
      <c r="G13" s="6" t="inlineStr">
        <is>
          <t>6.º intento con el mismo código</t>
        </is>
      </c>
      <c r="H13" s="6" t="inlineStr">
        <is>
          <t>Demasiados intentos. Pida un código nuevo.</t>
        </is>
      </c>
    </row>
    <row r="14">
      <c r="A14" s="6" t="inlineStr">
        <is>
          <t>V-13</t>
        </is>
      </c>
      <c r="B14" s="6" t="inlineStr">
        <is>
          <t>RF-02</t>
        </is>
      </c>
      <c r="C14" s="6" t="inlineStr">
        <is>
          <t>Código OTP</t>
        </is>
      </c>
      <c r="D14" s="6" t="inlineStr">
        <is>
          <t>Espera entre reenvíos</t>
        </is>
      </c>
      <c r="E14" s="6" t="inlineStr">
        <is>
          <t>60 segundos entre un envío y el siguiente</t>
        </is>
      </c>
      <c r="F14" s="6" t="inlineStr">
        <is>
          <t>Reenvío a los 60 s</t>
        </is>
      </c>
      <c r="G14" s="6" t="inlineStr">
        <is>
          <t>Reenvío a los 30 s</t>
        </is>
      </c>
      <c r="H14" s="6" t="inlineStr">
        <is>
          <t>Espere N segundos para pedir otro código.</t>
        </is>
      </c>
    </row>
    <row r="15">
      <c r="A15" s="6" t="inlineStr">
        <is>
          <t>V-14</t>
        </is>
      </c>
      <c r="B15" s="6" t="inlineStr">
        <is>
          <t>RF-02</t>
        </is>
      </c>
      <c r="C15" s="6" t="inlineStr">
        <is>
          <t>Código OTP</t>
        </is>
      </c>
      <c r="D15" s="6" t="inlineStr">
        <is>
          <t>Máximo de reenvíos</t>
        </is>
      </c>
      <c r="E15" s="6" t="inlineStr">
        <is>
          <t>3 reenvíos por cuenta; cambiar el correo cuenta como un reenvío</t>
        </is>
      </c>
      <c r="F15" s="6" t="inlineStr">
        <is>
          <t>3.er reenvío</t>
        </is>
      </c>
      <c r="G15" s="6" t="inlineStr">
        <is>
          <t>4.º reenvío</t>
        </is>
      </c>
      <c r="H15" s="6" t="inlineStr">
        <is>
          <t>Llegó al máximo de 3 reenvíos. Intente de nuevo después de 24 horas.</t>
        </is>
      </c>
    </row>
    <row r="16">
      <c r="A16" s="6" t="inlineStr">
        <is>
          <t>V-15</t>
        </is>
      </c>
      <c r="B16" s="6" t="inlineStr">
        <is>
          <t>RF-02</t>
        </is>
      </c>
      <c r="C16" s="6" t="inlineStr">
        <is>
          <t>Código OTP</t>
        </is>
      </c>
      <c r="D16" s="6" t="inlineStr">
        <is>
          <t>Cuenta pendiente de más de 24 horas</t>
        </is>
      </c>
      <c r="E16" s="6" t="inlineStr">
        <is>
          <t>Se elimina automáticamente a las 24 horas</t>
        </is>
      </c>
      <c r="F16" s="6" t="inlineStr">
        <is>
          <t>Activar a las 23 h</t>
        </is>
      </c>
      <c r="G16" s="6" t="inlineStr">
        <is>
          <t>Activar a las 25 h</t>
        </is>
      </c>
      <c r="H16" s="6" t="inlineStr">
        <is>
          <t>La cuenta venció. Regístrese de nuevo.</t>
        </is>
      </c>
    </row>
    <row r="17">
      <c r="A17" s="6" t="inlineStr">
        <is>
          <t>V-16</t>
        </is>
      </c>
      <c r="B17" s="6" t="inlineStr">
        <is>
          <t>RF-03</t>
        </is>
      </c>
      <c r="C17" s="6" t="inlineStr">
        <is>
          <t>Inicio de sesión</t>
        </is>
      </c>
      <c r="D17" s="6" t="inlineStr">
        <is>
          <t>Correo y clave vacíos</t>
        </is>
      </c>
      <c r="E17" s="6" t="inlineStr">
        <is>
          <t>Ambos campos son obligatorios</t>
        </is>
      </c>
      <c r="F17" s="6" t="inlineStr">
        <is>
          <t>Ambos escritos</t>
        </is>
      </c>
      <c r="G17" s="6" t="inlineStr">
        <is>
          <t>Clave vacía</t>
        </is>
      </c>
      <c r="H17" s="6" t="inlineStr">
        <is>
          <t>Escriba su correo y su clave.</t>
        </is>
      </c>
    </row>
    <row r="18">
      <c r="A18" s="6" t="inlineStr">
        <is>
          <t>V-17</t>
        </is>
      </c>
      <c r="B18" s="6" t="inlineStr">
        <is>
          <t>RF-03</t>
        </is>
      </c>
      <c r="C18" s="6" t="inlineStr">
        <is>
          <t>Inicio de sesión</t>
        </is>
      </c>
      <c r="D18" s="6" t="inlineStr">
        <is>
          <t>Credenciales</t>
        </is>
      </c>
      <c r="E18" s="6" t="inlineStr">
        <is>
          <t>El correo (sin distinguir mayúsculas) y la clave deben coincidir con una cuenta</t>
        </is>
      </c>
      <c r="F18" s="6" t="inlineStr">
        <is>
          <t>Correo y clave correctos</t>
        </is>
      </c>
      <c r="G18" s="6" t="inlineStr">
        <is>
          <t>Clave equivocada</t>
        </is>
      </c>
      <c r="H18" s="6" t="inlineStr">
        <is>
          <t>Correo o clave incorrectos.</t>
        </is>
      </c>
    </row>
    <row r="19">
      <c r="A19" s="6" t="inlineStr">
        <is>
          <t>V-18</t>
        </is>
      </c>
      <c r="B19" s="6" t="inlineStr">
        <is>
          <t>RF-03</t>
        </is>
      </c>
      <c r="C19" s="6" t="inlineStr">
        <is>
          <t>Inicio de sesión</t>
        </is>
      </c>
      <c r="D19" s="6" t="inlineStr">
        <is>
          <t>Bloqueo por intentos</t>
        </is>
      </c>
      <c r="E19" s="6" t="inlineStr">
        <is>
          <t>5 intentos fallidos seguidos bloquean 15 minutos</t>
        </is>
      </c>
      <c r="F19" s="6" t="inlineStr">
        <is>
          <t>4.º intento fallido</t>
        </is>
      </c>
      <c r="G19" s="6" t="inlineStr">
        <is>
          <t>5.º intento fallido</t>
        </is>
      </c>
      <c r="H19" s="6" t="inlineStr">
        <is>
          <t>Cuenta bloqueada por 15 minutos. Intente de nuevo a las HH:MM.</t>
        </is>
      </c>
    </row>
    <row r="20">
      <c r="A20" s="6" t="inlineStr">
        <is>
          <t>V-19</t>
        </is>
      </c>
      <c r="B20" s="6" t="inlineStr">
        <is>
          <t>RF-03</t>
        </is>
      </c>
      <c r="C20" s="6" t="inlineStr">
        <is>
          <t>Inicio de sesión</t>
        </is>
      </c>
      <c r="D20" s="6" t="inlineStr">
        <is>
          <t>Cuenta pendiente</t>
        </is>
      </c>
      <c r="E20" s="6" t="inlineStr">
        <is>
          <t>La cuenta debe estar ACTIVA para iniciar sesión</t>
        </is>
      </c>
      <c r="F20" s="6" t="inlineStr">
        <is>
          <t>Cuenta activa</t>
        </is>
      </c>
      <c r="G20" s="6" t="inlineStr">
        <is>
          <t>Cuenta pendiente</t>
        </is>
      </c>
      <c r="H20" s="6" t="inlineStr">
        <is>
          <t>Su cuenta aún no está activada. Ingrese el código que llegó a su correo.</t>
        </is>
      </c>
    </row>
    <row r="21">
      <c r="A21" s="6" t="inlineStr">
        <is>
          <t>V-20</t>
        </is>
      </c>
      <c r="B21" s="6" t="inlineStr">
        <is>
          <t>RF-04</t>
        </is>
      </c>
      <c r="C21" s="6" t="inlineStr">
        <is>
          <t>Cerrar sesión</t>
        </is>
      </c>
      <c r="D21" s="6" t="inlineStr">
        <is>
          <t>Registros sin enviar</t>
        </is>
      </c>
      <c r="E21" s="6" t="inlineStr">
        <is>
          <t>Con registros PENDIENTES pide confirmación y los conserva; con un solo registro el texto dice «1 registro» y «Se conservará»</t>
        </is>
      </c>
      <c r="F21" s="6" t="inlineStr">
        <is>
          <t>Sin pendientes</t>
        </is>
      </c>
      <c r="G21" s="6" t="inlineStr">
        <is>
          <t>3 pendientes</t>
        </is>
      </c>
      <c r="H21" s="6" t="inlineStr">
        <is>
          <t>Tiene N registros sin enviar. Se conservarán en este dispositivo. ¿Cerrar sesión?</t>
        </is>
      </c>
    </row>
    <row r="22">
      <c r="A22" s="6" t="inlineStr">
        <is>
          <t>V-21</t>
        </is>
      </c>
      <c r="B22" s="6" t="inlineStr">
        <is>
          <t>RF-01</t>
        </is>
      </c>
      <c r="C22" s="6" t="inlineStr">
        <is>
          <t>Servidor (comando crear_admin)</t>
        </is>
      </c>
      <c r="D22" s="6" t="inlineStr">
        <is>
          <t>Segundo administrador</t>
        </is>
      </c>
      <c r="E22" s="6" t="inlineStr">
        <is>
          <t>Solo puede existir una cuenta ADMIN</t>
        </is>
      </c>
      <c r="F22" s="6" t="inlineStr">
        <is>
          <t>Primer administrador</t>
        </is>
      </c>
      <c r="G22" s="6" t="inlineStr">
        <is>
          <t>Segundo administrador</t>
        </is>
      </c>
      <c r="H22" s="6" t="inlineStr">
        <is>
          <t>Ya existe un administrador.</t>
        </is>
      </c>
    </row>
    <row r="23">
      <c r="A23" s="6" t="inlineStr">
        <is>
          <t>V-22</t>
        </is>
      </c>
      <c r="B23" s="6" t="inlineStr">
        <is>
          <t>RF-12</t>
        </is>
      </c>
      <c r="C23" s="6" t="inlineStr">
        <is>
          <t>Finca y ciclo</t>
        </is>
      </c>
      <c r="D23" s="6" t="inlineStr">
        <is>
          <t>Nombre de finca y de lote (opcional)</t>
        </is>
      </c>
      <c r="E23" s="6" t="inlineStr">
        <is>
          <t>2 a 60 caracteres con las reglas de caracteres del nombre</t>
        </is>
      </c>
      <c r="F23" s="6" t="inlineStr">
        <is>
          <t>Lote El Mirador</t>
        </is>
      </c>
      <c r="G23" s="6" t="inlineStr">
        <is>
          <t>0</t>
        </is>
      </c>
      <c r="H23" s="6" t="inlineStr">
        <is>
          <t>Escriba un nombre de 2 a 60 caracteres con letras.</t>
        </is>
      </c>
    </row>
    <row r="24">
      <c r="A24" s="6" t="inlineStr">
        <is>
          <t>V-23</t>
        </is>
      </c>
      <c r="B24" s="6" t="inlineStr">
        <is>
          <t>RF-12</t>
        </is>
      </c>
      <c r="C24" s="6" t="inlineStr">
        <is>
          <t>Finca y ciclo</t>
        </is>
      </c>
      <c r="D24" s="6" t="inlineStr">
        <is>
          <t>Regla retirada</t>
        </is>
      </c>
      <c r="E24" s="6" t="inlineStr">
        <is>
          <t>Desapareció con la tabla LOTE: el nombre del lote ahora es solo un texto informativo del ciclo y puede repetirse</t>
        </is>
      </c>
      <c r="F24" s="6" t="inlineStr">
        <is>
          <t>-</t>
        </is>
      </c>
      <c r="G24" s="6" t="inlineStr">
        <is>
          <t>-</t>
        </is>
      </c>
      <c r="H24" s="6" t="inlineStr">
        <is>
          <t>(Regla retirada; no se usa)</t>
        </is>
      </c>
    </row>
    <row r="25">
      <c r="A25" s="6" t="inlineStr">
        <is>
          <t>V-24</t>
        </is>
      </c>
      <c r="B25" s="6" t="inlineStr">
        <is>
          <t>RF-14</t>
        </is>
      </c>
      <c r="C25" s="6" t="inlineStr">
        <is>
          <t>Ciclo</t>
        </is>
      </c>
      <c r="D25" s="6" t="inlineStr">
        <is>
          <t>Área bruta</t>
        </is>
      </c>
      <c r="E25" s="6" t="inlineStr">
        <is>
          <t>De 0,0001 a 10.000 ha</t>
        </is>
      </c>
      <c r="F25" s="6" t="inlineStr">
        <is>
          <t>1,0</t>
        </is>
      </c>
      <c r="G25" s="6" t="inlineStr">
        <is>
          <t>10.000,0001</t>
        </is>
      </c>
      <c r="H25" s="6" t="inlineStr">
        <is>
          <t>El área debe estar entre 0,0001 y 10.000 hectáreas.</t>
        </is>
      </c>
    </row>
    <row r="26">
      <c r="A26" s="6" t="inlineStr">
        <is>
          <t>V-25</t>
        </is>
      </c>
      <c r="B26" s="6" t="inlineStr">
        <is>
          <t>RF-14</t>
        </is>
      </c>
      <c r="C26" s="6" t="inlineStr">
        <is>
          <t>Ciclo</t>
        </is>
      </c>
      <c r="D26" s="6" t="inlineStr">
        <is>
          <t>Pendiente</t>
        </is>
      </c>
      <c r="E26" s="6" t="inlineStr">
        <is>
          <t>De 0 a 100 %</t>
        </is>
      </c>
      <c r="F26" s="6" t="inlineStr">
        <is>
          <t>15</t>
        </is>
      </c>
      <c r="G26" s="6" t="inlineStr">
        <is>
          <t>101</t>
        </is>
      </c>
      <c r="H26" s="6" t="inlineStr">
        <is>
          <t>La pendiente debe estar entre 0 y 100 %.</t>
        </is>
      </c>
    </row>
    <row r="27">
      <c r="A27" s="6" t="inlineStr">
        <is>
          <t>V-26</t>
        </is>
      </c>
      <c r="B27" s="6" t="inlineStr">
        <is>
          <t>RF-13</t>
        </is>
      </c>
      <c r="C27" s="6" t="inlineStr">
        <is>
          <t>Ciclo</t>
        </is>
      </c>
      <c r="D27" s="6" t="inlineStr">
        <is>
          <t>Área no sembrable</t>
        </is>
      </c>
      <c r="E27" s="6" t="inlineStr">
        <is>
          <t>Mayor o igual a 0 y estrictamente menor que el área bruta</t>
        </is>
      </c>
      <c r="F27" s="6" t="inlineStr">
        <is>
          <t>0,1 ha con bruta 1,0</t>
        </is>
      </c>
      <c r="G27" s="6" t="inlineStr">
        <is>
          <t>1,0 ha con bruta 1,0</t>
        </is>
      </c>
      <c r="H27" s="6" t="inlineStr">
        <is>
          <t>El área no sembrable debe ser menor que el área bruta.</t>
        </is>
      </c>
    </row>
    <row r="28">
      <c r="A28" s="6" t="inlineStr">
        <is>
          <t>V-27</t>
        </is>
      </c>
      <c r="B28" s="6" t="inlineStr">
        <is>
          <t>RF-14</t>
        </is>
      </c>
      <c r="C28" s="6" t="inlineStr">
        <is>
          <t>Ciclo</t>
        </is>
      </c>
      <c r="D28" s="6" t="inlineStr">
        <is>
          <t>Cultivo obligatorio</t>
        </is>
      </c>
      <c r="E28" s="6" t="inlineStr">
        <is>
          <t>Debe elegirse un cultivo del catálogo; un ciclo trae al menos uno</t>
        </is>
      </c>
      <c r="F28" s="6" t="inlineStr">
        <is>
          <t>Café</t>
        </is>
      </c>
      <c r="G28" s="6" t="inlineStr">
        <is>
          <t>Sin cultivo</t>
        </is>
      </c>
      <c r="H28" s="6" t="inlineStr">
        <is>
          <t>Seleccione un cultivo.</t>
        </is>
      </c>
    </row>
    <row r="29">
      <c r="A29" s="6" t="inlineStr">
        <is>
          <t>V-28</t>
        </is>
      </c>
      <c r="B29" s="6" t="inlineStr">
        <is>
          <t>RF-14</t>
        </is>
      </c>
      <c r="C29" s="6" t="inlineStr">
        <is>
          <t>Ciclo, gastos, jornales e ingresos</t>
        </is>
      </c>
      <c r="D29" s="6" t="inlineStr">
        <is>
          <t>Formato de fecha</t>
        </is>
      </c>
      <c r="E29" s="6" t="inlineStr">
        <is>
          <t>Fecha que existe en el calendario, con formato día/mes/año (día y mes de 1 o 2 dígitos y año de 4)</t>
        </is>
      </c>
      <c r="F29" s="6" t="inlineStr">
        <is>
          <t>15/11/2026</t>
        </is>
      </c>
      <c r="G29" s="6" t="inlineStr">
        <is>
          <t>31/02/2026</t>
        </is>
      </c>
      <c r="H29" s="6" t="inlineStr">
        <is>
          <t>Escriba una fecha válida (día/mes/año).</t>
        </is>
      </c>
    </row>
    <row r="30">
      <c r="A30" s="6" t="inlineStr">
        <is>
          <t>V-29</t>
        </is>
      </c>
      <c r="B30" s="6" t="inlineStr">
        <is>
          <t>RF-15</t>
        </is>
      </c>
      <c r="C30" s="6" t="inlineStr">
        <is>
          <t>Ciclo</t>
        </is>
      </c>
      <c r="D30" s="6" t="inlineStr">
        <is>
          <t>Fecha de cierre</t>
        </is>
      </c>
      <c r="E30" s="6" t="inlineStr">
        <is>
          <t>No puede ser anterior a la fecha de siembra ni posterior a hoy</t>
        </is>
      </c>
      <c r="F30" s="6" t="inlineStr">
        <is>
          <t>Igual a la siembra (con siembra de hoy o anterior)</t>
        </is>
      </c>
      <c r="G30" s="6" t="inlineStr">
        <is>
          <t>Un día antes de la siembra</t>
        </is>
      </c>
      <c r="H30" s="6" t="inlineStr">
        <is>
          <t>La fecha de cierre no puede ser anterior a la de siembra ni posterior a hoy.</t>
        </is>
      </c>
    </row>
    <row r="31">
      <c r="A31" s="6" t="inlineStr">
        <is>
          <t>V-30</t>
        </is>
      </c>
      <c r="B31" s="6" t="inlineStr">
        <is>
          <t>RF-15</t>
        </is>
      </c>
      <c r="C31" s="6" t="inlineStr">
        <is>
          <t>Ciclo</t>
        </is>
      </c>
      <c r="D31" s="6" t="inlineStr">
        <is>
          <t>Cierre sin ingresos</t>
        </is>
      </c>
      <c r="E31" s="6" t="inlineStr">
        <is>
          <t>Pide confirmación adicional; si confirma, cierra</t>
        </is>
      </c>
      <c r="F31" s="6" t="inlineStr">
        <is>
          <t>Ciclo con ingresos</t>
        </is>
      </c>
      <c r="G31" s="6" t="inlineStr">
        <is>
          <t>Ciclo sin ingresos</t>
        </is>
      </c>
      <c r="H31" s="6" t="inlineStr">
        <is>
          <t>Este ciclo no tiene ingresos. ¿Desea cerrarlo de todos modos?</t>
        </is>
      </c>
    </row>
    <row r="32">
      <c r="A32" s="6" t="inlineStr">
        <is>
          <t>V-31</t>
        </is>
      </c>
      <c r="B32" s="6" t="inlineStr">
        <is>
          <t>RF-15</t>
        </is>
      </c>
      <c r="C32" s="6" t="inlineStr">
        <is>
          <t>Ciclo</t>
        </is>
      </c>
      <c r="D32" s="6" t="inlineStr">
        <is>
          <t>Registro en ciclo cerrado</t>
        </is>
      </c>
      <c r="E32" s="6" t="inlineStr">
        <is>
          <t>Un ciclo CERRADO no admite nuevos registros</t>
        </is>
      </c>
      <c r="F32" s="6" t="inlineStr">
        <is>
          <t>Ciclo activo</t>
        </is>
      </c>
      <c r="G32" s="6" t="inlineStr">
        <is>
          <t>Ciclo cerrado</t>
        </is>
      </c>
      <c r="H32" s="6" t="inlineStr">
        <is>
          <t>Este ciclo está cerrado y no admite nuevos registros.</t>
        </is>
      </c>
    </row>
    <row r="33">
      <c r="A33" s="6" t="inlineStr">
        <is>
          <t>V-32</t>
        </is>
      </c>
      <c r="B33" s="6" t="inlineStr">
        <is>
          <t>RF-18</t>
        </is>
      </c>
      <c r="C33" s="6" t="inlineStr">
        <is>
          <t>Cálculo de matas</t>
        </is>
      </c>
      <c r="D33" s="6" t="inlineStr">
        <is>
          <t>Marco de siembra</t>
        </is>
      </c>
      <c r="E33" s="6" t="inlineStr">
        <is>
          <t>Obligatorio: cuadrado, rectangular o tresbolillo</t>
        </is>
      </c>
      <c r="F33" s="6" t="inlineStr">
        <is>
          <t>Cuadrado</t>
        </is>
      </c>
      <c r="G33" s="6" t="inlineStr">
        <is>
          <t>Sin elegir</t>
        </is>
      </c>
      <c r="H33" s="6" t="inlineStr">
        <is>
          <t>Elija el marco de siembra.</t>
        </is>
      </c>
    </row>
    <row r="34">
      <c r="A34" s="6" t="inlineStr">
        <is>
          <t>V-33</t>
        </is>
      </c>
      <c r="B34" s="6" t="inlineStr">
        <is>
          <t>RF-18</t>
        </is>
      </c>
      <c r="C34" s="6" t="inlineStr">
        <is>
          <t>Cálculo de matas</t>
        </is>
      </c>
      <c r="D34" s="6" t="inlineStr">
        <is>
          <t>Distancias</t>
        </is>
      </c>
      <c r="E34" s="6" t="inlineStr">
        <is>
          <t>De 0,01 a 10 metros</t>
        </is>
      </c>
      <c r="F34" s="6" t="inlineStr">
        <is>
          <t>1,5</t>
        </is>
      </c>
      <c r="G34" s="6" t="inlineStr">
        <is>
          <t>0</t>
        </is>
      </c>
      <c r="H34" s="6" t="inlineStr">
        <is>
          <t>La distancia debe estar entre 0,01 y 10 metros.</t>
        </is>
      </c>
    </row>
    <row r="35">
      <c r="A35" s="6" t="inlineStr">
        <is>
          <t>V-34</t>
        </is>
      </c>
      <c r="B35" s="6" t="inlineStr">
        <is>
          <t>RF-18</t>
        </is>
      </c>
      <c r="C35" s="6" t="inlineStr">
        <is>
          <t>Cálculo de matas</t>
        </is>
      </c>
      <c r="D35" s="6" t="inlineStr">
        <is>
          <t>Distancia fuera del rango del cultivo</t>
        </is>
      </c>
      <c r="E35" s="6" t="inlineStr">
        <is>
          <t>Es una advertencia: no bloquea el cálculo</t>
        </is>
      </c>
      <c r="F35" s="6" t="inlineStr">
        <is>
          <t>Dentro del rango</t>
        </is>
      </c>
      <c r="G35" s="6" t="inlineStr">
        <is>
          <t>Menor que el mínimo del catálogo</t>
        </is>
      </c>
      <c r="H35" s="6" t="inlineStr">
        <is>
          <t>Advertencia: la distancia está fuera del rango recomendado (mín.–máx. m). Puede continuar, pero la producción puede verse afectada.</t>
        </is>
      </c>
    </row>
    <row r="36">
      <c r="A36" s="6" t="inlineStr">
        <is>
          <t>V-35</t>
        </is>
      </c>
      <c r="B36" s="6" t="inlineStr">
        <is>
          <t>RF-23</t>
        </is>
      </c>
      <c r="C36" s="6" t="inlineStr">
        <is>
          <t>Gasto</t>
        </is>
      </c>
      <c r="D36" s="6" t="inlineStr">
        <is>
          <t>Valor</t>
        </is>
      </c>
      <c r="E36" s="6" t="inlineStr">
        <is>
          <t>De $1 a $50.000.000, solo números</t>
        </is>
      </c>
      <c r="F36" s="6" t="inlineStr">
        <is>
          <t>150000</t>
        </is>
      </c>
      <c r="G36" s="6" t="inlineStr">
        <is>
          <t>50000001</t>
        </is>
      </c>
      <c r="H36" s="6" t="inlineStr">
        <is>
          <t>El valor debe estar entre $1 y $50.000.000.</t>
        </is>
      </c>
    </row>
    <row r="37">
      <c r="A37" s="6" t="inlineStr">
        <is>
          <t>V-36</t>
        </is>
      </c>
      <c r="B37" s="6" t="inlineStr">
        <is>
          <t>RF-23</t>
        </is>
      </c>
      <c r="C37" s="6" t="inlineStr">
        <is>
          <t>Gasto</t>
        </is>
      </c>
      <c r="D37" s="6" t="inlineStr">
        <is>
          <t>Formato del valor</t>
        </is>
      </c>
      <c r="E37" s="6" t="inlineStr">
        <is>
          <t>Solo dígitos; se rechazan letras, signos y notación científica</t>
        </is>
      </c>
      <c r="F37" s="6" t="inlineStr">
        <is>
          <t>150000</t>
        </is>
      </c>
      <c r="G37" s="6" t="inlineStr">
        <is>
          <t>1e5</t>
        </is>
      </c>
      <c r="H37" s="6" t="inlineStr">
        <is>
          <t>Escriba solo números.</t>
        </is>
      </c>
    </row>
    <row r="38">
      <c r="A38" s="6" t="inlineStr">
        <is>
          <t>V-37</t>
        </is>
      </c>
      <c r="B38" s="6" t="inlineStr">
        <is>
          <t>RF-23</t>
        </is>
      </c>
      <c r="C38" s="6" t="inlineStr">
        <is>
          <t>Gasto</t>
        </is>
      </c>
      <c r="D38" s="6" t="inlineStr">
        <is>
          <t>Categoría</t>
        </is>
      </c>
      <c r="E38" s="6" t="inlineStr">
        <is>
          <t>Obligatoria: semillas, abonos, agroquímicos, herramientas, transporte u otros</t>
        </is>
      </c>
      <c r="F38" s="6" t="inlineStr">
        <is>
          <t>Abonos</t>
        </is>
      </c>
      <c r="G38" s="6" t="inlineStr">
        <is>
          <t>Sin elegir</t>
        </is>
      </c>
      <c r="H38" s="6" t="inlineStr">
        <is>
          <t>Elija una categoría.</t>
        </is>
      </c>
    </row>
    <row r="39">
      <c r="A39" s="6" t="inlineStr">
        <is>
          <t>V-38</t>
        </is>
      </c>
      <c r="B39" s="6" t="inlineStr">
        <is>
          <t>RF-23</t>
        </is>
      </c>
      <c r="C39" s="6" t="inlineStr">
        <is>
          <t>Gasto</t>
        </is>
      </c>
      <c r="D39" s="6" t="inlineStr">
        <is>
          <t>Observaciones</t>
        </is>
      </c>
      <c r="E39" s="6" t="inlineStr">
        <is>
          <t>Hasta 150 caracteres; solo letras, números, espacios y los signos . , -</t>
        </is>
      </c>
      <c r="F39" s="6" t="inlineStr">
        <is>
          <t>Abono para el ciclo 1</t>
        </is>
      </c>
      <c r="G39" s="6" t="inlineStr">
        <is>
          <t>Texto de 151 caracteres</t>
        </is>
      </c>
      <c r="H39" s="6" t="inlineStr">
        <is>
          <t>Escriba máximo 150 caracteres, solo con letras, números y los signos . , -</t>
        </is>
      </c>
    </row>
    <row r="40">
      <c r="A40" s="6" t="inlineStr">
        <is>
          <t>V-39</t>
        </is>
      </c>
      <c r="B40" s="6" t="inlineStr">
        <is>
          <t>RF-24</t>
        </is>
      </c>
      <c r="C40" s="6" t="inlineStr">
        <is>
          <t>Jornales</t>
        </is>
      </c>
      <c r="D40" s="6" t="inlineStr">
        <is>
          <t>Número de jornales</t>
        </is>
      </c>
      <c r="E40" s="6" t="inlineStr">
        <is>
          <t>De 0,5 a 999, de medio en medio</t>
        </is>
      </c>
      <c r="F40" s="6" t="inlineStr">
        <is>
          <t>1,5</t>
        </is>
      </c>
      <c r="G40" s="6" t="inlineStr">
        <is>
          <t>1,25</t>
        </is>
      </c>
      <c r="H40" s="6" t="inlineStr">
        <is>
          <t>Los jornales deben estar entre 0,5 y 999, de medio en medio.</t>
        </is>
      </c>
    </row>
    <row r="41">
      <c r="A41" s="6" t="inlineStr">
        <is>
          <t>V-40</t>
        </is>
      </c>
      <c r="B41" s="6" t="inlineStr">
        <is>
          <t>RF-24</t>
        </is>
      </c>
      <c r="C41" s="6" t="inlineStr">
        <is>
          <t>Jornales</t>
        </is>
      </c>
      <c r="D41" s="6" t="inlineStr">
        <is>
          <t>Valor diario</t>
        </is>
      </c>
      <c r="E41" s="6" t="inlineStr">
        <is>
          <t>Mayor que $0 y máximo $50.000.000</t>
        </is>
      </c>
      <c r="F41" s="6" t="inlineStr">
        <is>
          <t>60000</t>
        </is>
      </c>
      <c r="G41" s="6" t="inlineStr">
        <is>
          <t>0</t>
        </is>
      </c>
      <c r="H41" s="6" t="inlineStr">
        <is>
          <t>El valor del jornal debe ser mayor que $0.</t>
        </is>
      </c>
    </row>
    <row r="42">
      <c r="A42" s="6" t="inlineStr">
        <is>
          <t>V-41</t>
        </is>
      </c>
      <c r="B42" s="6" t="inlineStr">
        <is>
          <t>RF-25</t>
        </is>
      </c>
      <c r="C42" s="6" t="inlineStr">
        <is>
          <t>Ingreso</t>
        </is>
      </c>
      <c r="D42" s="6" t="inlineStr">
        <is>
          <t>Cantidad</t>
        </is>
      </c>
      <c r="E42" s="6" t="inlineStr">
        <is>
          <t>De 0,1 a 10.000 en la unidad comercial del cultivo</t>
        </is>
      </c>
      <c r="F42" s="6" t="inlineStr">
        <is>
          <t>25</t>
        </is>
      </c>
      <c r="G42" s="6" t="inlineStr">
        <is>
          <t>10001</t>
        </is>
      </c>
      <c r="H42" s="6" t="inlineStr">
        <is>
          <t>La cantidad debe estar entre 0,1 y 10.000.</t>
        </is>
      </c>
    </row>
    <row r="43">
      <c r="A43" s="6" t="inlineStr">
        <is>
          <t>V-42</t>
        </is>
      </c>
      <c r="B43" s="6" t="inlineStr">
        <is>
          <t>RF-25</t>
        </is>
      </c>
      <c r="C43" s="6" t="inlineStr">
        <is>
          <t>Ingreso</t>
        </is>
      </c>
      <c r="D43" s="6" t="inlineStr">
        <is>
          <t>Precio unitario</t>
        </is>
      </c>
      <c r="E43" s="6" t="inlineStr">
        <is>
          <t>De $1 a $50.000.000</t>
        </is>
      </c>
      <c r="F43" s="6" t="inlineStr">
        <is>
          <t>180000</t>
        </is>
      </c>
      <c r="G43" s="6" t="inlineStr">
        <is>
          <t>0</t>
        </is>
      </c>
      <c r="H43" s="6" t="inlineStr">
        <is>
          <t>El precio debe estar entre $1 y $50.000.000.</t>
        </is>
      </c>
    </row>
    <row r="44">
      <c r="A44" s="6" t="inlineStr">
        <is>
          <t>V-43</t>
        </is>
      </c>
      <c r="B44" s="6" t="inlineStr">
        <is>
          <t>RF-27</t>
        </is>
      </c>
      <c r="C44" s="6" t="inlineStr">
        <is>
          <t>Editar o eliminar</t>
        </is>
      </c>
      <c r="D44" s="6" t="inlineStr">
        <is>
          <t>Deshacer</t>
        </is>
      </c>
      <c r="E44" s="6" t="inlineStr">
        <is>
          <t>Disponible 10 segundos después de eliminar</t>
        </is>
      </c>
      <c r="F44" s="6" t="inlineStr">
        <is>
          <t>A los 10 s</t>
        </is>
      </c>
      <c r="G44" s="6" t="inlineStr">
        <is>
          <t>A los 11 s</t>
        </is>
      </c>
      <c r="H44" s="6" t="inlineStr">
        <is>
          <t>Ya no se puede deshacer.</t>
        </is>
      </c>
    </row>
    <row r="45">
      <c r="A45" s="6" t="inlineStr">
        <is>
          <t>V-44</t>
        </is>
      </c>
      <c r="B45" s="6" t="inlineStr">
        <is>
          <t>RF-36</t>
        </is>
      </c>
      <c r="C45" s="6" t="inlineStr">
        <is>
          <t>Sincronización</t>
        </is>
      </c>
      <c r="D45" s="6" t="inlineStr">
        <is>
          <t>Sin conexión</t>
        </is>
      </c>
      <c r="E45" s="6" t="inlineStr">
        <is>
          <t>Los datos se guardan en el dispositivo</t>
        </is>
      </c>
      <c r="F45" s="6" t="inlineStr">
        <is>
          <t>Con conexión</t>
        </is>
      </c>
      <c r="G45" s="6" t="inlineStr">
        <is>
          <t>Sin conexión</t>
        </is>
      </c>
      <c r="H45" s="6" t="inlineStr">
        <is>
          <t>Sin conexión: sus datos están guardados en este dispositivo y se enviarán solos.</t>
        </is>
      </c>
    </row>
    <row r="46">
      <c r="A46" s="6" t="inlineStr">
        <is>
          <t>V-45</t>
        </is>
      </c>
      <c r="B46" s="6" t="inlineStr">
        <is>
          <t>RF-36</t>
        </is>
      </c>
      <c r="C46" s="6" t="inlineStr">
        <is>
          <t>Sincronización</t>
        </is>
      </c>
      <c r="D46" s="6" t="inlineStr">
        <is>
          <t>Falla del servidor</t>
        </is>
      </c>
      <c r="E46" s="6" t="inlineStr">
        <is>
          <t>Los registros siguen PENDIENTES y se reintenta</t>
        </is>
      </c>
      <c r="F46" s="6" t="inlineStr">
        <is>
          <t>Envío correcto</t>
        </is>
      </c>
      <c r="G46" s="6" t="inlineStr">
        <is>
          <t>Error del servidor</t>
        </is>
      </c>
      <c r="H46" s="6" t="inlineStr">
        <is>
          <t>No pudimos enviar sus datos ahora. Lo intentaremos de nuevo.</t>
        </is>
      </c>
    </row>
    <row r="47">
      <c r="A47" s="6" t="inlineStr">
        <is>
          <t>V-46</t>
        </is>
      </c>
      <c r="B47" s="6" t="inlineStr">
        <is>
          <t>RF-36</t>
        </is>
      </c>
      <c r="C47" s="6" t="inlineStr">
        <is>
          <t>Sincronización</t>
        </is>
      </c>
      <c r="D47" s="6" t="inlineStr">
        <is>
          <t>Sesión vencida</t>
        </is>
      </c>
      <c r="E47" s="6" t="inlineStr">
        <is>
          <t>Pide iniciar sesión; los datos locales se conservan</t>
        </is>
      </c>
      <c r="F47" s="6" t="inlineStr">
        <is>
          <t>Sesión vigente</t>
        </is>
      </c>
      <c r="G47" s="6" t="inlineStr">
        <is>
          <t>Sesión de más de 30 días</t>
        </is>
      </c>
      <c r="H47" s="6" t="inlineStr">
        <is>
          <t>Su sesión venció. Ingrese de nuevo; sus datos siguen guardados.</t>
        </is>
      </c>
    </row>
    <row r="48">
      <c r="A48" s="6" t="inlineStr">
        <is>
          <t>V-47</t>
        </is>
      </c>
      <c r="B48" s="6" t="inlineStr">
        <is>
          <t>RF-23</t>
        </is>
      </c>
      <c r="C48" s="6" t="inlineStr">
        <is>
          <t>Gasto, jornales e ingreso</t>
        </is>
      </c>
      <c r="D48" s="6" t="inlineStr">
        <is>
          <t>Fecha del registro</t>
        </is>
      </c>
      <c r="E48" s="6" t="inlineStr">
        <is>
          <t>No puede ser posterior a hoy ni anterior a la fecha de siembra del ciclo (RF-23, RF-24 y RF-25)</t>
        </is>
      </c>
      <c r="F48" s="6" t="inlineStr">
        <is>
          <t>Hoy</t>
        </is>
      </c>
      <c r="G48" s="6" t="inlineStr">
        <is>
          <t>Mañana</t>
        </is>
      </c>
      <c r="H48" s="6" t="inlineStr">
        <is>
          <t>La fecha no puede ser posterior a hoy ni anterior a la siembra del ciclo.</t>
        </is>
      </c>
    </row>
    <row r="49">
      <c r="A49" s="6" t="inlineStr">
        <is>
          <t>V-48</t>
        </is>
      </c>
      <c r="B49" s="6" t="inlineStr">
        <is>
          <t>RF-14</t>
        </is>
      </c>
      <c r="C49" s="6" t="inlineStr">
        <is>
          <t>Ciclo</t>
        </is>
      </c>
      <c r="D49" s="6" t="inlineStr">
        <is>
          <t>Rango de la fecha de siembra</t>
        </is>
      </c>
      <c r="E49" s="6" t="inlineStr">
        <is>
          <t>Entre el 01/01/2020 y un año después de hoy</t>
        </is>
      </c>
      <c r="F49" s="6" t="inlineStr">
        <is>
          <t>15/11/2026</t>
        </is>
      </c>
      <c r="G49" s="6" t="inlineStr">
        <is>
          <t>01/01/2019</t>
        </is>
      </c>
      <c r="H49" s="6" t="inlineStr">
        <is>
          <t>La fecha de siembra debe estar entre el 01/01/2020 y un año después de hoy.</t>
        </is>
      </c>
    </row>
    <row r="50">
      <c r="A50" s="6" t="inlineStr">
        <is>
          <t>V-49</t>
        </is>
      </c>
      <c r="B50" s="6" t="inlineStr">
        <is>
          <t>RF-14</t>
        </is>
      </c>
      <c r="C50" s="6" t="inlineStr">
        <is>
          <t>Ciclo</t>
        </is>
      </c>
      <c r="D50" s="6" t="inlineStr">
        <is>
          <t>Vigencia del ciclo en años</t>
        </is>
      </c>
      <c r="E50" s="6" t="inlineStr">
        <is>
          <t>Opcional; entero de 1 a 50 años</t>
        </is>
      </c>
      <c r="F50" s="6" t="inlineStr">
        <is>
          <t>7</t>
        </is>
      </c>
      <c r="G50" s="6" t="inlineStr">
        <is>
          <t>51 o 2,5</t>
        </is>
      </c>
      <c r="H50" s="6" t="inlineStr">
        <is>
          <t>La vigencia debe ser un número entero de años entre 1 y 50.</t>
        </is>
      </c>
    </row>
    <row r="51">
      <c r="A51" s="6" t="inlineStr">
        <is>
          <t>V-50</t>
        </is>
      </c>
      <c r="B51" s="6" t="inlineStr">
        <is>
          <t>RF-14</t>
        </is>
      </c>
      <c r="C51" s="6" t="inlineStr">
        <is>
          <t>Ciclo</t>
        </is>
      </c>
      <c r="D51" s="6" t="inlineStr">
        <is>
          <t>Cultivo repetido en el ciclo</t>
        </is>
      </c>
      <c r="E51" s="6" t="inlineStr">
        <is>
          <t>Un cultivo solo puede estar una vez en el mismo ciclo</t>
        </is>
      </c>
      <c r="F51" s="6" t="inlineStr">
        <is>
          <t>Plátano (nuevo en el ciclo)</t>
        </is>
      </c>
      <c r="G51" s="6" t="inlineStr">
        <is>
          <t>Café (ya está en el ciclo)</t>
        </is>
      </c>
      <c r="H51" s="6" t="inlineStr">
        <is>
          <t>Este cultivo ya está en el ciclo.</t>
        </is>
      </c>
    </row>
  </sheetData>
  <autoFilter ref="A1:H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2" customWidth="1" min="2" max="2"/>
    <col width="40" customWidth="1" min="3" max="3"/>
    <col width="28" customWidth="1" min="4" max="4"/>
    <col width="46" customWidth="1" min="5" max="5"/>
  </cols>
  <sheetData>
    <row r="1">
      <c r="A1" s="5" t="inlineStr">
        <is>
          <t>Pregunta</t>
        </is>
      </c>
      <c r="B1" s="5" t="inlineStr">
        <is>
          <t>Descripción</t>
        </is>
      </c>
      <c r="C1" s="5" t="inlineStr">
        <is>
          <t>Resultado</t>
        </is>
      </c>
      <c r="D1" s="5" t="inlineStr">
        <is>
          <t>Requisitos derivados</t>
        </is>
      </c>
      <c r="E1" s="5" t="inlineStr">
        <is>
          <t>Estado</t>
        </is>
      </c>
    </row>
    <row r="2">
      <c r="A2" s="6" t="n">
        <v>8</v>
      </c>
      <c r="B2" s="6" t="inlineStr">
        <is>
          <t>Determinación de distancia de siembra</t>
        </is>
      </c>
      <c r="C2" s="6" t="inlineStr">
        <is>
          <t>6/10 por experiencia propia; 3/10 consejo de otros</t>
        </is>
      </c>
      <c r="D2" s="6" t="inlineStr">
        <is>
          <t>RF-17, RF-18</t>
        </is>
      </c>
      <c r="E2" s="6" t="inlineStr">
        <is>
          <t>Cubierto</t>
        </is>
      </c>
    </row>
    <row r="3">
      <c r="A3" s="6" t="n">
        <v>9</v>
      </c>
      <c r="B3" s="6" t="inlineStr">
        <is>
          <t>Conoce matas/ha exactas</t>
        </is>
      </c>
      <c r="C3" s="6" t="inlineStr">
        <is>
          <t>6 aprox.; 2 no sabe; 2 exacto</t>
        </is>
      </c>
      <c r="D3" s="6" t="inlineStr">
        <is>
          <t>RF-18</t>
        </is>
      </c>
      <c r="E3" s="6" t="inlineStr">
        <is>
          <t>Cubierto</t>
        </is>
      </c>
    </row>
    <row r="4">
      <c r="A4" s="6" t="n">
        <v>10</v>
      </c>
      <c r="B4" s="6" t="inlineStr">
        <is>
          <t>Pérdidas por mala distribución</t>
        </is>
      </c>
      <c r="C4" s="6" t="inlineStr">
        <is>
          <t>8/10 sí</t>
        </is>
      </c>
      <c r="D4" s="6" t="inlineStr">
        <is>
          <t>RF-18</t>
        </is>
      </c>
      <c r="E4" s="6" t="inlineStr">
        <is>
          <t>Cubierto</t>
        </is>
      </c>
    </row>
    <row r="5">
      <c r="A5" s="6" t="n">
        <v>11</v>
      </c>
      <c r="B5" s="6" t="inlineStr">
        <is>
          <t>Utilidad de calcular plantas/ha</t>
        </is>
      </c>
      <c r="C5" s="6" t="inlineStr">
        <is>
          <t>9/10 muy útil</t>
        </is>
      </c>
      <c r="D5" s="6" t="inlineStr">
        <is>
          <t>RF-18</t>
        </is>
      </c>
      <c r="E5" s="6" t="inlineStr">
        <is>
          <t>Cubierto</t>
        </is>
      </c>
    </row>
    <row r="6">
      <c r="A6" s="6" t="n">
        <v>12</v>
      </c>
      <c r="B6" s="6" t="inlineStr">
        <is>
          <t>Lleva registro de gastos</t>
        </is>
      </c>
      <c r="C6" s="6" t="inlineStr">
        <is>
          <t>7/10 no lleva registros</t>
        </is>
      </c>
      <c r="D6" s="6" t="inlineStr">
        <is>
          <t>RF-23, RF-24, RF-27</t>
        </is>
      </c>
      <c r="E6" s="6" t="inlineStr">
        <is>
          <t>Cubierto</t>
        </is>
      </c>
    </row>
    <row r="7">
      <c r="A7" s="6" t="n">
        <v>13</v>
      </c>
      <c r="B7" s="6" t="inlineStr">
        <is>
          <t>Sabe cuánto gana realmente</t>
        </is>
      </c>
      <c r="C7" s="6" t="inlineStr">
        <is>
          <t>7 aprox.; 3 no</t>
        </is>
      </c>
      <c r="D7" s="6" t="inlineStr">
        <is>
          <t>RF-28</t>
        </is>
      </c>
      <c r="E7" s="6" t="inlineStr">
        <is>
          <t>Cubierto</t>
        </is>
      </c>
    </row>
    <row r="8">
      <c r="A8" s="6" t="n">
        <v>15</v>
      </c>
      <c r="B8" s="6" t="inlineStr">
        <is>
          <t>Cálculo automático de utilidad</t>
        </is>
      </c>
      <c r="C8" s="6" t="inlineStr">
        <is>
          <t>8 sí; 2 tal vez</t>
        </is>
      </c>
      <c r="D8" s="6" t="inlineStr">
        <is>
          <t>RF-28</t>
        </is>
      </c>
      <c r="E8" s="6" t="inlineStr">
        <is>
          <t>Cubierto</t>
        </is>
      </c>
    </row>
    <row r="9">
      <c r="A9" s="6" t="n">
        <v>16</v>
      </c>
      <c r="B9" s="6" t="inlineStr">
        <is>
          <t>Teléfono con Internet</t>
        </is>
      </c>
      <c r="C9" s="6" t="inlineStr">
        <is>
          <t>6 siempre; 4 algunas veces</t>
        </is>
      </c>
      <c r="D9" s="6" t="inlineStr">
        <is>
          <t>RNF-10, RF-35, RF-36</t>
        </is>
      </c>
      <c r="E9" s="6" t="inlineStr">
        <is>
          <t>Cubierto (funciona sin conexión)</t>
        </is>
      </c>
    </row>
    <row r="10">
      <c r="A10" s="6" t="n">
        <v>17</v>
      </c>
      <c r="B10" s="6" t="inlineStr">
        <is>
          <t>Frecuencia de uso de Internet agrícola</t>
        </is>
      </c>
      <c r="C10" s="6" t="inlineStr">
        <is>
          <t>7/10 ocasionalmente; 1 nunca</t>
        </is>
      </c>
      <c r="D10" s="6" t="inlineStr">
        <is>
          <t>RNF-10, RF-35</t>
        </is>
      </c>
      <c r="E10" s="6" t="inlineStr">
        <is>
          <t>Cubierto</t>
        </is>
      </c>
    </row>
    <row r="11">
      <c r="A11" s="6" t="n">
        <v>18</v>
      </c>
      <c r="B11" s="6" t="inlineStr">
        <is>
          <t>Dispositivo principal</t>
        </is>
      </c>
      <c r="C11" s="6" t="inlineStr">
        <is>
          <t>9 Android; 1 iPhone</t>
        </is>
      </c>
      <c r="D11" s="6" t="inlineStr">
        <is>
          <t>RNF-05, RNF-07</t>
        </is>
      </c>
      <c r="E11" s="6" t="inlineStr">
        <is>
          <t>Cubierto; se prueba en Android y en Safari</t>
        </is>
      </c>
    </row>
    <row r="12">
      <c r="A12" s="6" t="n">
        <v>21</v>
      </c>
      <c r="B12" s="6" t="inlineStr">
        <is>
          <t>Facilidad de aprendizaje esperada</t>
        </is>
      </c>
      <c r="C12" s="6" t="inlineStr">
        <is>
          <t>media alta (5:5, 4:2, 3:2)</t>
        </is>
      </c>
      <c r="D12" s="6" t="inlineStr">
        <is>
          <t>RNF-05</t>
        </is>
      </c>
      <c r="E12" s="6" t="inlineStr">
        <is>
          <t>Cubierto</t>
        </is>
      </c>
    </row>
    <row r="13">
      <c r="A13" s="6" t="n">
        <v>22</v>
      </c>
      <c r="B13" s="6" t="inlineStr">
        <is>
          <t>Tiempo máx. aceptable de resultado</t>
        </is>
      </c>
      <c r="C13" s="6" t="inlineStr">
        <is>
          <t>5 &lt;2 s; 2 de 2–5 s; 3 de 5–10 s</t>
        </is>
      </c>
      <c r="D13" s="6" t="inlineStr">
        <is>
          <t>RNF-01</t>
        </is>
      </c>
      <c r="E13" s="6" t="inlineStr">
        <is>
          <t>Cubierto (criterio más estricto)</t>
        </is>
      </c>
    </row>
    <row r="14">
      <c r="A14" s="6" t="n">
        <v>23</v>
      </c>
      <c r="B14" s="6" t="inlineStr">
        <is>
          <t>Importancia de disponibilidad 24 h</t>
        </is>
      </c>
      <c r="C14" s="6" t="inlineStr">
        <is>
          <t>promedio 4,0/5</t>
        </is>
      </c>
      <c r="D14" s="6" t="inlineStr">
        <is>
          <t>RNF-10</t>
        </is>
      </c>
      <c r="E14" s="6" t="inlineStr">
        <is>
          <t>Cubierto</t>
        </is>
      </c>
    </row>
    <row r="15">
      <c r="A15" s="6" t="n">
        <v>24</v>
      </c>
      <c r="B15" s="6" t="inlineStr">
        <is>
          <t>Importancia de protección de información</t>
        </is>
      </c>
      <c r="C15" s="6" t="inlineStr">
        <is>
          <t>7 muy importante; 3 poco importante</t>
        </is>
      </c>
      <c r="D15" s="6" t="inlineStr">
        <is>
          <t>RNF-14, RNF-15, RNF-16, RNF-17</t>
        </is>
      </c>
      <c r="E15" s="6" t="inlineStr">
        <is>
          <t>Cubierto (3/10 «poco importante» no reduce requisitos legales)</t>
        </is>
      </c>
    </row>
    <row r="16">
      <c r="A16" s="6" t="n">
        <v>25</v>
      </c>
      <c r="B16" s="6" t="inlineStr">
        <is>
          <t>Historial de cálculos y registros</t>
        </is>
      </c>
      <c r="C16" s="6" t="inlineStr">
        <is>
          <t>8 sí; 2 tal vez</t>
        </is>
      </c>
      <c r="D16" s="6" t="inlineStr">
        <is>
          <t>—</t>
        </is>
      </c>
      <c r="E16" s="6" t="inlineStr">
        <is>
          <t>Fuera del alcance del proyecto</t>
        </is>
      </c>
    </row>
    <row r="17">
      <c r="A17" s="6" t="n">
        <v>28</v>
      </c>
      <c r="B17" s="6" t="inlineStr">
        <is>
          <t>Gravedad si la app falla</t>
        </is>
      </c>
      <c r="C17" s="6" t="inlineStr">
        <is>
          <t>moda 3/5</t>
        </is>
      </c>
      <c r="D17" s="6" t="inlineStr">
        <is>
          <t>RNF-11, RNF-25</t>
        </is>
      </c>
      <c r="E17" s="6" t="inlineStr">
        <is>
          <t>Cubierto</t>
        </is>
      </c>
    </row>
    <row r="18">
      <c r="A18" s="6" t="n">
        <v>29</v>
      </c>
      <c r="B18" s="6" t="inlineStr">
        <is>
          <t>Letra grande y legible</t>
        </is>
      </c>
      <c r="C18" s="6" t="inlineStr">
        <is>
          <t>mayoría 4–5</t>
        </is>
      </c>
      <c r="D18" s="6" t="inlineStr">
        <is>
          <t>RNF-07</t>
        </is>
      </c>
      <c r="E18" s="6" t="inlineStr">
        <is>
          <t>Cubierto</t>
        </is>
      </c>
    </row>
    <row r="19">
      <c r="A19" s="6" t="n">
        <v>30</v>
      </c>
      <c r="B19" s="6" t="inlineStr">
        <is>
          <t>Guardar varias cosechas para comparar</t>
        </is>
      </c>
      <c r="C19" s="6" t="inlineStr">
        <is>
          <t>6 sí; 4 tal vez</t>
        </is>
      </c>
      <c r="D19" s="6" t="inlineStr">
        <is>
          <t>—</t>
        </is>
      </c>
      <c r="E19" s="6" t="inlineStr">
        <is>
          <t>Fuera del alcance del proyecto</t>
        </is>
      </c>
    </row>
    <row r="20">
      <c r="A20" s="6" t="n">
        <v>20</v>
      </c>
      <c r="B20" s="6" t="inlineStr">
        <is>
          <t>Sugerencias abiertas (épocas de luna, manejo de ganancias e inversión)</t>
        </is>
      </c>
      <c r="C20" s="6" t="inlineStr">
        <is>
          <t>texto libre</t>
        </is>
      </c>
      <c r="D20" s="6" t="inlineStr">
        <is>
          <t>—</t>
        </is>
      </c>
      <c r="E20" s="6" t="inlineStr">
        <is>
          <t>Fuera del alcance del proyecto</t>
        </is>
      </c>
    </row>
  </sheetData>
  <autoFilter ref="A1:E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22" customWidth="1" min="3" max="3"/>
    <col width="60" customWidth="1" min="4" max="4"/>
    <col width="52" customWidth="1" min="5" max="5"/>
    <col width="11" customWidth="1" min="6" max="6"/>
    <col width="24" customWidth="1" min="7" max="7"/>
  </cols>
  <sheetData>
    <row r="1">
      <c r="A1" s="5" t="inlineStr">
        <is>
          <t>Caso</t>
        </is>
      </c>
      <c r="B1" s="5" t="inlineStr">
        <is>
          <t>Requisito</t>
        </is>
      </c>
      <c r="C1" s="5" t="inlineStr">
        <is>
          <t>Técnica</t>
        </is>
      </c>
      <c r="D1" s="5" t="inlineStr">
        <is>
          <t>Entradas / valores</t>
        </is>
      </c>
      <c r="E1" s="5" t="inlineStr">
        <is>
          <t>Resultado esperado</t>
        </is>
      </c>
      <c r="F1" s="5" t="inlineStr">
        <is>
          <t>Estado</t>
        </is>
      </c>
      <c r="G1" s="5" t="inlineStr">
        <is>
          <t>Resultado obtenido</t>
        </is>
      </c>
    </row>
    <row r="2">
      <c r="A2" s="6" t="inlineStr">
        <is>
          <t>CP-RF-01-01</t>
        </is>
      </c>
      <c r="B2" s="6" t="inlineStr">
        <is>
          <t>RF-01</t>
        </is>
      </c>
      <c r="C2" s="6" t="inlineStr">
        <is>
          <t>Tabla de decisión</t>
        </is>
      </c>
      <c r="D2" s="6" t="inlineStr">
        <is>
          <t>Ejecutar crear_admin con correo válido y clave 'Cafe#Cauca2026' sin admin previo</t>
        </is>
      </c>
      <c r="E2" s="6" t="inlineStr">
        <is>
          <t>Cuenta creada con rol ADMIN</t>
        </is>
      </c>
      <c r="F2" s="6" t="inlineStr">
        <is>
          <t>Aprobado</t>
        </is>
      </c>
      <c r="G2" s="6" t="inlineStr">
        <is>
          <t>crear_admin con la clave «Cafe#Cauca2026»: cuenta creada con rol ADMIN y la clave guardada como hash</t>
        </is>
      </c>
    </row>
    <row r="3">
      <c r="A3" s="6" t="inlineStr">
        <is>
          <t>CP-RF-01-02</t>
        </is>
      </c>
      <c r="B3" s="6" t="inlineStr">
        <is>
          <t>RF-01</t>
        </is>
      </c>
      <c r="C3" s="6" t="inlineStr">
        <is>
          <t>Tabla de decisión</t>
        </is>
      </c>
      <c r="D3" s="6" t="inlineStr">
        <is>
          <t>Ejecutar crear_admin cuando ya existe un administrador</t>
        </is>
      </c>
      <c r="E3" s="6" t="inlineStr">
        <is>
          <t>Se rechaza; sigue habiendo un solo administrador</t>
        </is>
      </c>
      <c r="F3" s="6" t="inlineStr">
        <is>
          <t>Aprobado</t>
        </is>
      </c>
      <c r="G3" s="6" t="inlineStr">
        <is>
          <t>Segundo crear_admin rechazado («Ya existe un administrador.»); sigue habiendo 1 solo ADMIN</t>
        </is>
      </c>
    </row>
    <row r="4">
      <c r="A4" s="6" t="inlineStr">
        <is>
          <t>CP-RF-01-03</t>
        </is>
      </c>
      <c r="B4" s="6" t="inlineStr">
        <is>
          <t>RF-01</t>
        </is>
      </c>
      <c r="C4" s="6" t="inlineStr">
        <is>
          <t>Valores límite</t>
        </is>
      </c>
      <c r="D4" s="6" t="inlineStr">
        <is>
          <t>crear_admin con clave de 9 caracteres (Abcdef#12)</t>
        </is>
      </c>
      <c r="E4" s="6" t="inlineStr">
        <is>
          <t>Se rechaza por clave corta</t>
        </is>
      </c>
      <c r="F4" s="6" t="inlineStr">
        <is>
          <t>Aprobado</t>
        </is>
      </c>
      <c r="G4" s="6" t="inlineStr">
        <is>
          <t>Clave de 9 caracteres «Abcdef#12»: rechazada («La clave debe tener de 10 a 64 caracteres, con mayúscula, minúscula, número y símbolo (sin espacios ni tildes).»); no se crea la cuenta</t>
        </is>
      </c>
    </row>
    <row r="5">
      <c r="A5" s="6" t="inlineStr">
        <is>
          <t>CP-RF-01-04</t>
        </is>
      </c>
      <c r="B5" s="6" t="inlineStr">
        <is>
          <t>RF-01</t>
        </is>
      </c>
      <c r="C5" s="6" t="inlineStr">
        <is>
          <t>Caja negra</t>
        </is>
      </c>
      <c r="D5" s="6" t="inlineStr">
        <is>
          <t>Intentar registrar un administrador desde la pantalla pública de registro</t>
        </is>
      </c>
      <c r="E5" s="6" t="inlineStr">
        <is>
          <t>No existe opción; solo se crean agricultores</t>
        </is>
      </c>
      <c r="F5" s="6" t="inlineStr">
        <is>
          <t>Aprobado</t>
        </is>
      </c>
      <c r="G5" s="6" t="inlineStr">
        <is>
          <t>Servidor: Registro público con el campo rol = ADMIN: se ignoró el campo rol; la cuenta queda como AGRICULTOR. La pantalla no ofrece elegir rol (e2e_plan.cjs) | Pantalla: el formulario de registro no tiene campo ni opción de rol (0 listas desplegables, sin la palabra «administrador»)</t>
        </is>
      </c>
    </row>
    <row r="6">
      <c r="A6" s="6" t="inlineStr">
        <is>
          <t>CP-RF-01-05</t>
        </is>
      </c>
      <c r="B6" s="6" t="inlineStr">
        <is>
          <t>RF-01</t>
        </is>
      </c>
      <c r="C6" s="6" t="inlineStr">
        <is>
          <t>Caja negra</t>
        </is>
      </c>
      <c r="D6" s="6" t="inlineStr">
        <is>
          <t>Iniciar sesión en la aplicación con la cuenta de administrador</t>
        </is>
      </c>
      <c r="E6" s="6" t="inlineStr">
        <is>
          <t>No se guarda la sesión ni se abre el panel; aparece el aviso para usar los comandos de administración del servidor</t>
        </is>
      </c>
      <c r="F6" s="6" t="inlineStr">
        <is>
          <t>Aprobado</t>
        </is>
      </c>
      <c r="G6" s="6" t="inlineStr">
        <is>
          <t>El administrador no puede abrir sesión en la aplicación: aviso «Esta cuenta es de administración y no tiene pantallas en la aplicación. Use los comandos de administración del servidor.»; no se guarda la sesión ni se abre el panel</t>
        </is>
      </c>
    </row>
    <row r="7">
      <c r="A7" s="6" t="inlineStr">
        <is>
          <t>CP-RF-01-06</t>
        </is>
      </c>
      <c r="B7" s="6" t="inlineStr">
        <is>
          <t>RF-01</t>
        </is>
      </c>
      <c r="C7" s="6" t="inlineStr">
        <is>
          <t>Tabla de decisión</t>
        </is>
      </c>
      <c r="D7" s="6" t="inlineStr">
        <is>
          <t>AD-01 (GET /admin/usuarios) con token de administrador, con token de agricultor y sin token</t>
        </is>
      </c>
      <c r="E7" s="6" t="inlineStr">
        <is>
          <t>200 con la lista; 403 E-06; 401 V-46</t>
        </is>
      </c>
      <c r="F7" s="6" t="inlineStr">
        <is>
          <t>Aprobado</t>
        </is>
      </c>
      <c r="G7" s="6" t="inlineStr">
        <is>
          <t>AD-01: administrador 200 con lista (1 cuentas); agricultor 403 E-06; sin token 401 V-46</t>
        </is>
      </c>
    </row>
    <row r="8">
      <c r="A8" s="6" t="inlineStr">
        <is>
          <t>CP-RF-01-07</t>
        </is>
      </c>
      <c r="B8" s="6" t="inlineStr">
        <is>
          <t>RF-01</t>
        </is>
      </c>
      <c r="C8" s="6" t="inlineStr">
        <is>
          <t>Caja negra</t>
        </is>
      </c>
      <c r="D8" s="6" t="inlineStr">
        <is>
          <t>AD-02: restablecer la clave de un agricultor con 'Nueva#Clave2026' y con 'abc'</t>
        </is>
      </c>
      <c r="E8" s="6" t="inlineStr">
        <is>
          <t>La válida cambia la clave, revoca sus sesiones y quita el bloqueo; 'abc' se rechaza con V-07</t>
        </is>
      </c>
      <c r="F8" s="6" t="inlineStr">
        <is>
          <t>Aprobado</t>
        </is>
      </c>
      <c r="G8" s="6" t="inlineStr">
        <is>
          <t>AD-02: «abc» rechazada con V-07; «Nueva#Clave2026» da 204, revoca la sesión anterior (401), quita el bloqueo y permite ingresar (200)</t>
        </is>
      </c>
    </row>
    <row r="9">
      <c r="A9" s="6" t="inlineStr">
        <is>
          <t>CP-RF-01-08</t>
        </is>
      </c>
      <c r="B9" s="6" t="inlineStr">
        <is>
          <t>RF-01</t>
        </is>
      </c>
      <c r="C9" s="6" t="inlineStr">
        <is>
          <t>Tabla de decisión</t>
        </is>
      </c>
      <c r="D9" s="6" t="inlineStr">
        <is>
          <t>AD-03: eliminar un agricultor con fincas; luego la cuenta del administrador y una cuenta que no existe</t>
        </is>
      </c>
      <c r="E9" s="6" t="inlineStr">
        <is>
          <t>La primera se elimina con todos sus datos (204); la del administrador da 409 E-09; la inexistente 404 E-07</t>
        </is>
      </c>
      <c r="F9" s="6" t="inlineStr">
        <is>
          <t>Aprobado</t>
        </is>
      </c>
      <c r="G9" s="6" t="inlineStr">
        <is>
          <t>AD-03: agricultor con fincas eliminado (204); administrador 409 E-09; cuenta inexistente 404 E-07</t>
        </is>
      </c>
    </row>
    <row r="10">
      <c r="A10" s="6" t="inlineStr">
        <is>
          <t>CP-RF-01-09</t>
        </is>
      </c>
      <c r="B10" s="6" t="inlineStr">
        <is>
          <t>RF-01</t>
        </is>
      </c>
      <c r="C10" s="6" t="inlineStr">
        <is>
          <t>Caja negra</t>
        </is>
      </c>
      <c r="D10" s="6" t="inlineStr">
        <is>
          <t>AD-05 con el token de administrador sobre la cuenta de María Pérez (datos de prueba)</t>
        </is>
      </c>
      <c r="E10" s="6" t="inlineStr">
        <is>
          <t>200 con 2 fincas, 3 ciclos, 2 gastos, 1 jornal y 2 ingresos, y el detalle por finca</t>
        </is>
      </c>
      <c r="F10" s="6" t="inlineStr">
        <is>
          <t>Aprobado</t>
        </is>
      </c>
      <c r="G10" s="6" t="inlineStr">
        <is>
          <t>AD-05 sobre María Pérez (datos de prueba): 200 con totales {'fincas': 2, 'ciclos': 3, 'gastos': 2, 'jornales': 1, 'ingresos': 2} y el detalle por finca</t>
        </is>
      </c>
    </row>
    <row r="11">
      <c r="A11" s="6" t="inlineStr">
        <is>
          <t>CP-RF-01-10</t>
        </is>
      </c>
      <c r="B11" s="6" t="inlineStr">
        <is>
          <t>RF-01</t>
        </is>
      </c>
      <c r="C11" s="6" t="inlineStr">
        <is>
          <t>Tabla de decisión</t>
        </is>
      </c>
      <c r="D11" s="6" t="inlineStr">
        <is>
          <t>AD-05 con token de agricultor, sin token y sobre la cuenta del administrador o una cuenta que no existe</t>
        </is>
      </c>
      <c r="E11" s="6" t="inlineStr">
        <is>
          <t>403 E-06, 401 V-46 y 404 E-07</t>
        </is>
      </c>
      <c r="F11" s="6" t="inlineStr">
        <is>
          <t>Aprobado</t>
        </is>
      </c>
      <c r="G11" s="6" t="inlineStr">
        <is>
          <t>AD-05: agricultor 403 E-06; sin token 401 V-46; sobre el administrador 404 E-07; cuenta inexistente 404 E-07</t>
        </is>
      </c>
    </row>
    <row r="12">
      <c r="A12" s="6" t="inlineStr">
        <is>
          <t>CP-RF-01-11</t>
        </is>
      </c>
      <c r="B12" s="6" t="inlineStr">
        <is>
          <t>RF-01</t>
        </is>
      </c>
      <c r="C12" s="6" t="inlineStr">
        <is>
          <t>Caja negra</t>
        </is>
      </c>
      <c r="D12" s="6" t="inlineStr">
        <is>
          <t>AD-03 sobre un agricultor con 2 fincas, 4 ciclos (uno CERRADO), gastos eliminados lógicamente y una fila en INTENTO_INGRESO; luego contar filas en las 9 tablas dependientes</t>
        </is>
      </c>
      <c r="E12" s="6" t="inlineStr">
        <is>
          <t>Cero filas con su id_usuario, con los ids de sus fincas y ciclos y con su correo en OTP, TOKEN, FINCA, CICLO, CICLO_CULTIVO, GASTO, JORNAL, INGRESO e INTENTO_INGRESO; los datos de otro agricultor no cambian y el correo queda libre</t>
        </is>
      </c>
      <c r="F12" s="6" t="inlineStr">
        <is>
          <t>Aprobado</t>
        </is>
      </c>
      <c r="G12" s="6" t="inlineStr">
        <is>
          <t>AD-03 sobre María (2 fincas, 3 ciclos, un gasto eliminado lógicamente y un intento de ingreso): filas restantes {'usuario': 0, 'fincas': 0, 'ciclos': 0, 'gastos': 0, 'tokens': 0, 'otp': 0, 'intentos': 0}</t>
        </is>
      </c>
    </row>
    <row r="13">
      <c r="A13" s="6" t="inlineStr">
        <is>
          <t>CP-RF-01-12</t>
        </is>
      </c>
      <c r="B13" s="6" t="inlineStr">
        <is>
          <t>RF-01</t>
        </is>
      </c>
      <c r="C13" s="6" t="inlineStr">
        <is>
          <t>Caja negra</t>
        </is>
      </c>
      <c r="D13" s="6" t="inlineStr">
        <is>
          <t>Tras AD-03, el dispositivo del usuario eliminado envía S-01 con un gasto de uno de sus ciclos</t>
        </is>
      </c>
      <c r="E13" s="6" t="inlineStr">
        <is>
          <t>401 V-46; no se crea ninguna fila</t>
        </is>
      </c>
      <c r="F13" s="6" t="inlineStr">
        <is>
          <t>Aprobado</t>
        </is>
      </c>
      <c r="G13" s="6" t="inlineStr">
        <is>
          <t>Tras AD-03, el dispositivo del usuario eliminado envía S-01: 401 V-46 y no se crea ninguna fila</t>
        </is>
      </c>
    </row>
    <row r="14">
      <c r="A14" s="6" t="inlineStr">
        <is>
          <t>CP-RF-01-13</t>
        </is>
      </c>
      <c r="B14" s="6" t="inlineStr">
        <is>
          <t>RF-01</t>
        </is>
      </c>
      <c r="C14" s="6" t="inlineStr">
        <is>
          <t>Caja negra</t>
        </is>
      </c>
      <c r="D14" s="6" t="inlineStr">
        <is>
          <t>Insertar con SQL directo un segundo usuario con rol ADMIN, y después un usuario AGRICULTOR</t>
        </is>
      </c>
      <c r="E14" s="6" t="inlineStr">
        <is>
          <t>El segundo ADMIN lo rechaza la restricción UNIQUE; el agricultor se inserta</t>
        </is>
      </c>
      <c r="F14" s="6" t="inlineStr">
        <is>
          <t>Aprobado</t>
        </is>
      </c>
      <c r="G14" s="6" t="inlineStr">
        <is>
          <t>INSERT directo de un 2.º ADMIN: la restricción UNIQUE (uq_usuario_un_solo_admin) lo rechaza; un AGRICULTOR se inserta</t>
        </is>
      </c>
    </row>
    <row r="15">
      <c r="A15" s="6" t="inlineStr">
        <is>
          <t>CP-RF-02-01</t>
        </is>
      </c>
      <c r="B15" s="6" t="inlineStr">
        <is>
          <t>RF-02</t>
        </is>
      </c>
      <c r="C15" s="6" t="inlineStr">
        <is>
          <t>Particiones de equivalencia</t>
        </is>
      </c>
      <c r="D15" s="6" t="inlineStr">
        <is>
          <t>Registro con datos válidos: 'María Pérez', 'maria@correo.com', 'Caloto', 'Cafe#Cauca2026'</t>
        </is>
      </c>
      <c r="E15" s="6" t="inlineStr">
        <is>
          <t>Cuenta PENDIENTE y OTP enviado al correo</t>
        </is>
      </c>
      <c r="F15" s="6" t="inlineStr">
        <is>
          <t>Aprobado</t>
        </is>
      </c>
      <c r="G15" s="6" t="inlineStr">
        <is>
          <t>Registro válido: 201, cuenta PENDIENTE y un código OTP generado (en pruebas el envío queda en el registro del servidor)</t>
        </is>
      </c>
    </row>
    <row r="16">
      <c r="A16" s="6" t="inlineStr">
        <is>
          <t>CP-RF-02-02</t>
        </is>
      </c>
      <c r="B16" s="6" t="inlineStr">
        <is>
          <t>RF-02</t>
        </is>
      </c>
      <c r="C16" s="6" t="inlineStr">
        <is>
          <t>Valores límite</t>
        </is>
      </c>
      <c r="D16" s="6" t="inlineStr">
        <is>
          <t>Clave de 9 / 10 / 11 caracteres con mayúscula, minúscula, número y símbolo</t>
        </is>
      </c>
      <c r="E16" s="6" t="inlineStr">
        <is>
          <t>9 se rechaza; 10 y 11 se aceptan</t>
        </is>
      </c>
      <c r="F16" s="6" t="inlineStr">
        <is>
          <t>Aprobado</t>
        </is>
      </c>
      <c r="G16" s="6" t="inlineStr">
        <is>
          <t>Claves de 9 / 10 / 11 caracteres: 400 (V-07) / 201 / 201</t>
        </is>
      </c>
    </row>
    <row r="17">
      <c r="A17" s="6" t="inlineStr">
        <is>
          <t>CP-RF-02-03</t>
        </is>
      </c>
      <c r="B17" s="6" t="inlineStr">
        <is>
          <t>RF-02</t>
        </is>
      </c>
      <c r="C17" s="6" t="inlineStr">
        <is>
          <t>Particiones de equivalencia</t>
        </is>
      </c>
      <c r="D17" s="6" t="inlineStr">
        <is>
          <t>Nombre '0', '00', 'aaaaa', 'test' y 1 solo carácter</t>
        </is>
      </c>
      <c r="E17" s="6" t="inlineStr">
        <is>
          <t>Todos se rechazan con el mensaje de reglas</t>
        </is>
      </c>
      <c r="F17" s="6" t="inlineStr">
        <is>
          <t>Aprobado</t>
        </is>
      </c>
      <c r="G17" s="6" t="inlineStr">
        <is>
          <t>Nombres «0», «00», «aaaaa», «test» y «A»: todos rechazados con V-01</t>
        </is>
      </c>
    </row>
    <row r="18">
      <c r="A18" s="6" t="inlineStr">
        <is>
          <t>CP-RF-02-04</t>
        </is>
      </c>
      <c r="B18" s="6" t="inlineStr">
        <is>
          <t>RF-02</t>
        </is>
      </c>
      <c r="C18" s="6" t="inlineStr">
        <is>
          <t>Particiones de equivalencia</t>
        </is>
      </c>
      <c r="D18" s="6" t="inlineStr">
        <is>
          <t>Correo 'abc', '0@0', 'a@b', 'a b@c.com' y 'ana@correo.com'</t>
        </is>
      </c>
      <c r="E18" s="6" t="inlineStr">
        <is>
          <t>Solo el último se acepta (RFC 5322)</t>
        </is>
      </c>
      <c r="F18" s="6" t="inlineStr">
        <is>
          <t>Aprobado</t>
        </is>
      </c>
      <c r="G18" s="6" t="inlineStr">
        <is>
          <t>Correos «abc», «0@0», «a@b», «a b@c.com»: rechazados con V-03; «ana@correo.com»: aceptado (201)</t>
        </is>
      </c>
    </row>
    <row r="19">
      <c r="A19" s="6" t="inlineStr">
        <is>
          <t>CP-RF-02-05</t>
        </is>
      </c>
      <c r="B19" s="6" t="inlineStr">
        <is>
          <t>RF-02</t>
        </is>
      </c>
      <c r="C19" s="6" t="inlineStr">
        <is>
          <t>Valores límite</t>
        </is>
      </c>
      <c r="D19" s="6" t="inlineStr">
        <is>
          <t>Código OTP ingresado a los 14:59 y a los 15:01 minutos</t>
        </is>
      </c>
      <c r="E19" s="6" t="inlineStr">
        <is>
          <t>14:59 activa la cuenta; 15:01 se rechaza</t>
        </is>
      </c>
      <c r="F19" s="6" t="inlineStr">
        <is>
          <t>Aprobado</t>
        </is>
      </c>
      <c r="G19" s="6" t="inlineStr">
        <is>
          <t>Código a los 14:59: 200 y cuenta activa; a los 15:01: 400 V-11</t>
        </is>
      </c>
    </row>
    <row r="20">
      <c r="A20" s="6" t="inlineStr">
        <is>
          <t>CP-RF-02-06</t>
        </is>
      </c>
      <c r="B20" s="6" t="inlineStr">
        <is>
          <t>RF-02</t>
        </is>
      </c>
      <c r="C20" s="6" t="inlineStr">
        <is>
          <t>Caja negra</t>
        </is>
      </c>
      <c r="D20" s="6" t="inlineStr">
        <is>
          <t>Registro sin marcar la autorización de datos (Ley 1581)</t>
        </is>
      </c>
      <c r="E20" s="6" t="inlineStr">
        <is>
          <t>Se rechaza; no se crea la cuenta</t>
        </is>
      </c>
      <c r="F20" s="6" t="inlineStr">
        <is>
          <t>Aprobado</t>
        </is>
      </c>
      <c r="G20" s="6" t="inlineStr">
        <is>
          <t>Registro sin marcar la autorización (Ley 1581): 400 V-08; no se crea la cuenta</t>
        </is>
      </c>
    </row>
    <row r="21">
      <c r="A21" s="6" t="inlineStr">
        <is>
          <t>CP-RF-02-07</t>
        </is>
      </c>
      <c r="B21" s="6" t="inlineStr">
        <is>
          <t>RF-02</t>
        </is>
      </c>
      <c r="C21" s="6" t="inlineStr">
        <is>
          <t>Caja negra</t>
        </is>
      </c>
      <c r="D21" s="6" t="inlineStr">
        <is>
          <t>Dos clics rápidos en «Registrarme»</t>
        </is>
      </c>
      <c r="E21" s="6" t="inlineStr">
        <is>
          <t>Solo se envía una solicitud (botón deshabilitado)</t>
        </is>
      </c>
      <c r="F21" s="6" t="inlineStr">
        <is>
          <t>Aprobado</t>
        </is>
      </c>
      <c r="G21" s="6" t="inlineStr">
        <is>
          <t>Dos clics rápidos en «Registrarme»: se envió 1 sola solicitud al servidor y se abrió la pantalla del código</t>
        </is>
      </c>
    </row>
    <row r="22">
      <c r="A22" s="6" t="inlineStr">
        <is>
          <t>CP-RF-02-08</t>
        </is>
      </c>
      <c r="B22" s="6" t="inlineStr">
        <is>
          <t>RF-02</t>
        </is>
      </c>
      <c r="C22" s="6" t="inlineStr">
        <is>
          <t>Valores límite</t>
        </is>
      </c>
      <c r="D22" s="6" t="inlineStr">
        <is>
          <t>Código OTP incorrecto 4 veces y luego el correcto / 5 veces incorrecto y luego el correcto</t>
        </is>
      </c>
      <c r="E22" s="6" t="inlineStr">
        <is>
          <t>Con 4 fallos el correcto activa la cuenta; al 5.º fallo el código se invalida y el correcto ya no sirve</t>
        </is>
      </c>
      <c r="F22" s="6" t="inlineStr">
        <is>
          <t>Aprobado</t>
        </is>
      </c>
      <c r="G22" s="6" t="inlineStr">
        <is>
          <t>4 fallos y el código correcto: 200 (activa); 5 fallos: respuestas [400, 400, 400, 400, 423] y el código correcto después también da 423 (invalidado)</t>
        </is>
      </c>
    </row>
    <row r="23">
      <c r="A23" s="6" t="inlineStr">
        <is>
          <t>CP-RF-02-09</t>
        </is>
      </c>
      <c r="B23" s="6" t="inlineStr">
        <is>
          <t>RF-02</t>
        </is>
      </c>
      <c r="C23" s="6" t="inlineStr">
        <is>
          <t>Valores límite</t>
        </is>
      </c>
      <c r="D23" s="6" t="inlineStr">
        <is>
          <t>Pedir reenvío 3 veces (esperando 60 s) y un 4.º reenvío</t>
        </is>
      </c>
      <c r="E23" s="6" t="inlineStr">
        <is>
          <t>Los 3 primeros envían un código nuevo e invalidan el anterior; el 4.º se rechaza con el mensaje de máximo</t>
        </is>
      </c>
      <c r="F23" s="6" t="inlineStr">
        <is>
          <t>Aprobado</t>
        </is>
      </c>
      <c r="G23" s="6" t="inlineStr">
        <is>
          <t>3 reenvíos esperando 60 s: 200, 200, 200 (cada uno anula el anterior: queda 1 código vigente); 4.º: 429 V-14</t>
        </is>
      </c>
    </row>
    <row r="24">
      <c r="A24" s="6" t="inlineStr">
        <is>
          <t>CP-RF-02-10</t>
        </is>
      </c>
      <c r="B24" s="6" t="inlineStr">
        <is>
          <t>RF-02</t>
        </is>
      </c>
      <c r="C24" s="6" t="inlineStr">
        <is>
          <t>Valores límite</t>
        </is>
      </c>
      <c r="D24" s="6" t="inlineStr">
        <is>
          <t>Pedir reenvío a los 30 s y a los 60 s del envío anterior</t>
        </is>
      </c>
      <c r="E24" s="6" t="inlineStr">
        <is>
          <t>A los 30 s se rechaza con la espera restante; a los 60 s se envía</t>
        </is>
      </c>
      <c r="F24" s="6" t="inlineStr">
        <is>
          <t>Aprobado</t>
        </is>
      </c>
      <c r="G24" s="6" t="inlineStr">
        <is>
          <t>Reenvío a los 30 s: 429 V-13 (espera restante 30 s); a los 60 s: 200</t>
        </is>
      </c>
    </row>
    <row r="25">
      <c r="A25" s="6" t="inlineStr">
        <is>
          <t>CP-RF-02-11</t>
        </is>
      </c>
      <c r="B25" s="6" t="inlineStr">
        <is>
          <t>RF-02</t>
        </is>
      </c>
      <c r="C25" s="6" t="inlineStr">
        <is>
          <t>Caja negra</t>
        </is>
      </c>
      <c r="D25" s="6" t="inlineStr">
        <is>
          <t>Cambiar el correo en la pantalla del código por uno válido y por 'abc'</t>
        </is>
      </c>
      <c r="E25" s="6" t="inlineStr">
        <is>
          <t>El válido envía el código a la dirección nueva y cuenta como reenvío; 'abc' se rechaza</t>
        </is>
      </c>
      <c r="F25" s="6" t="inlineStr">
        <is>
          <t>Aprobado</t>
        </is>
      </c>
      <c r="G25" s="6" t="inlineStr">
        <is>
          <t>Cambiar el correo: «abc» rechazado con V-03; «nuevo@correo.com» aceptado (200), código nuevo y cuenta como reenvío (quedan 2)</t>
        </is>
      </c>
    </row>
    <row r="26">
      <c r="A26" s="6" t="inlineStr">
        <is>
          <t>CP-RF-02-12</t>
        </is>
      </c>
      <c r="B26" s="6" t="inlineStr">
        <is>
          <t>RF-02</t>
        </is>
      </c>
      <c r="C26" s="6" t="inlineStr">
        <is>
          <t>Caja negra</t>
        </is>
      </c>
      <c r="D26" s="6" t="inlineStr">
        <is>
          <t>Registrar un correo de cuenta activa y uno de cuenta pendiente de menos de 24 h</t>
        </is>
      </c>
      <c r="E26" s="6" t="inlineStr">
        <is>
          <t>Ambos se rechazan con su mensaje; no se crea otra cuenta</t>
        </is>
      </c>
      <c r="F26" s="6" t="inlineStr">
        <is>
          <t>Aprobado</t>
        </is>
      </c>
      <c r="G26" s="6" t="inlineStr">
        <is>
          <t>Correo de cuenta activa: 409 V-05; correo de cuenta pendiente (&lt; 24 h): 409 V-06; no se crea otra cuenta</t>
        </is>
      </c>
    </row>
    <row r="27">
      <c r="A27" s="6" t="inlineStr">
        <is>
          <t>CP-RF-02-13</t>
        </is>
      </c>
      <c r="B27" s="6" t="inlineStr">
        <is>
          <t>RF-02</t>
        </is>
      </c>
      <c r="C27" s="6" t="inlineStr">
        <is>
          <t>Valores límite</t>
        </is>
      </c>
      <c r="D27" s="6" t="inlineStr">
        <is>
          <t>Activar una cuenta pendiente a las 23 h y a las 25 h</t>
        </is>
      </c>
      <c r="E27" s="6" t="inlineStr">
        <is>
          <t>A las 23 h se activa; a las 25 h la cuenta ya fue eliminada y el correo está libre</t>
        </is>
      </c>
      <c r="F27" s="6" t="inlineStr">
        <is>
          <t>Aprobado</t>
        </is>
      </c>
      <c r="G27" s="6" t="inlineStr">
        <is>
          <t>Activar a las 23 h: 200; a las 25 h: 410 V-15, la cuenta ya fue eliminada y el correo quedó libre (nuevo registro 201)</t>
        </is>
      </c>
    </row>
    <row r="28">
      <c r="A28" s="6" t="inlineStr">
        <is>
          <t>CP-RF-02-14</t>
        </is>
      </c>
      <c r="B28" s="6" t="inlineStr">
        <is>
          <t>RF-02</t>
        </is>
      </c>
      <c r="C28" s="6" t="inlineStr">
        <is>
          <t>Caja negra</t>
        </is>
      </c>
      <c r="D28" s="6" t="inlineStr">
        <is>
          <t>Escribir el correo y la confirmación distintos</t>
        </is>
      </c>
      <c r="E28" s="6" t="inlineStr">
        <is>
          <t>Se rechaza con «Los dos correos no coinciden»</t>
        </is>
      </c>
      <c r="F28" s="6" t="inlineStr">
        <is>
          <t>Aprobado</t>
        </is>
      </c>
      <c r="G28" s="6" t="inlineStr">
        <is>
          <t>Correo y confirmación distintos: 400 V-04 «Los dos correos no coinciden.»</t>
        </is>
      </c>
    </row>
    <row r="29">
      <c r="A29" s="6" t="inlineStr">
        <is>
          <t>CP-RF-02-15</t>
        </is>
      </c>
      <c r="B29" s="6" t="inlineStr">
        <is>
          <t>RF-02</t>
        </is>
      </c>
      <c r="C29" s="6" t="inlineStr">
        <is>
          <t>Valores límite</t>
        </is>
      </c>
      <c r="D29" s="6" t="inlineStr">
        <is>
          <t>Clave de 63 / 64 / 65 caracteres con mayúscula, minúscula, número y símbolo</t>
        </is>
      </c>
      <c r="E29" s="6" t="inlineStr">
        <is>
          <t>63 y 64 se aceptan; 65 se rechaza con V-07</t>
        </is>
      </c>
      <c r="F29" s="6" t="inlineStr">
        <is>
          <t>Aprobado</t>
        </is>
      </c>
      <c r="G29" s="6" t="inlineStr">
        <is>
          <t>Claves de 63 / 64 / 65 caracteres: 201 / 201 / 400 (V-07)</t>
        </is>
      </c>
    </row>
    <row r="30">
      <c r="A30" s="6" t="inlineStr">
        <is>
          <t>CP-RF-02-16</t>
        </is>
      </c>
      <c r="B30" s="6" t="inlineStr">
        <is>
          <t>RF-02</t>
        </is>
      </c>
      <c r="C30" s="6" t="inlineStr">
        <is>
          <t>Particiones de equivalencia</t>
        </is>
      </c>
      <c r="D30" s="6" t="inlineStr">
        <is>
          <t>Claves 'Cafe_Cauca2026' y 'Cafe.Cauca2026' (símbolos de la lista) frente a 'Cafe Cauca2026' (espacio) y 'Café#Cauca2026' (tilde)</t>
        </is>
      </c>
      <c r="E30" s="6" t="inlineStr">
        <is>
          <t>Las dos primeras se aceptan; las otras dos se rechazan con V-07</t>
        </is>
      </c>
      <c r="F30" s="6" t="inlineStr">
        <is>
          <t>Aprobado</t>
        </is>
      </c>
      <c r="G30" s="6" t="inlineStr">
        <is>
          <t>Claves con «_» y «.»: 201; con espacio o con tilde: 400 V-07</t>
        </is>
      </c>
    </row>
    <row r="31">
      <c r="A31" s="6" t="inlineStr">
        <is>
          <t>CP-RF-02-17</t>
        </is>
      </c>
      <c r="B31" s="6" t="inlineStr">
        <is>
          <t>RF-02</t>
        </is>
      </c>
      <c r="C31" s="6" t="inlineStr">
        <is>
          <t>Valores límite</t>
        </is>
      </c>
      <c r="D31" s="6" t="inlineStr">
        <is>
          <t>Correo de 254 caracteres y correo de 255 caracteres, ambos con formato correcto</t>
        </is>
      </c>
      <c r="E31" s="6" t="inlineStr">
        <is>
          <t>El de 254 se acepta; el de 255 se rechaza con V-03</t>
        </is>
      </c>
      <c r="F31" s="6" t="inlineStr">
        <is>
          <t>Aprobado</t>
        </is>
      </c>
      <c r="G31" s="6" t="inlineStr">
        <is>
          <t>Correo de 254 caracteres: aceptado (201); de 255: rechazado con V-03</t>
        </is>
      </c>
    </row>
    <row r="32">
      <c r="A32" s="6" t="inlineStr">
        <is>
          <t>CP-RF-02-18</t>
        </is>
      </c>
      <c r="B32" s="6" t="inlineStr">
        <is>
          <t>RF-02</t>
        </is>
      </c>
      <c r="C32" s="6" t="inlineStr">
        <is>
          <t>Caja negra</t>
        </is>
      </c>
      <c r="D32" s="6" t="inlineStr">
        <is>
          <t>Registrar 'MARIA@CORREO.COM' cuando 'maria@correo.com' ya está activo, y luego ingresar con 'Maria@Correo.com' y la clave correcta</t>
        </is>
      </c>
      <c r="E32" s="6" t="inlineStr">
        <is>
          <t>El registro se rechaza con V-05; el ingreso funciona porque el correo no distingue mayúsculas</t>
        </is>
      </c>
      <c r="F32" s="6" t="inlineStr">
        <is>
          <t>Aprobado</t>
        </is>
      </c>
      <c r="G32" s="6" t="inlineStr">
        <is>
          <t>Registrar «MARIA@CORREO.COM» con «maria@correo.com» activo: 409 V-05; ingresar con «Maria@Correo.com»: 200</t>
        </is>
      </c>
    </row>
    <row r="33">
      <c r="A33" s="6" t="inlineStr">
        <is>
          <t>CP-RF-02-19</t>
        </is>
      </c>
      <c r="B33" s="6" t="inlineStr">
        <is>
          <t>RF-02</t>
        </is>
      </c>
      <c r="C33" s="6" t="inlineStr">
        <is>
          <t>Caja negra</t>
        </is>
      </c>
      <c r="D33" s="6" t="inlineStr">
        <is>
          <t>Enviar A-01 desde una página de otro dominio distinto al de la PWA (origen no permitido por CORS)</t>
        </is>
      </c>
      <c r="E33" s="6" t="inlineStr">
        <is>
          <t>El navegador bloquea la respuesta (el servidor no la autoriza para ese origen) y no se crea ninguna cuenta</t>
        </is>
      </c>
      <c r="F33" s="6" t="inlineStr">
        <is>
          <t>Aprobado</t>
        </is>
      </c>
      <c r="G33" s="6" t="inlineStr">
        <is>
          <t>Petición desde otro origen (https://sitio-malo.example): el servidor no devuelve Access-Control-Allow-Origin para ese origen (valor: None); el navegador bloquea la respuesta</t>
        </is>
      </c>
    </row>
    <row r="34">
      <c r="A34" s="6" t="inlineStr">
        <is>
          <t>CP-RF-02-20</t>
        </is>
      </c>
      <c r="B34" s="6" t="inlineStr">
        <is>
          <t>RF-02</t>
        </is>
      </c>
      <c r="C34" s="6" t="inlineStr">
        <is>
          <t>Valores límite</t>
        </is>
      </c>
      <c r="D34" s="6" t="inlineStr">
        <is>
          <t>A-01 seis veces desde la misma IP en una hora, con correos distintos y datos válidos</t>
        </is>
      </c>
      <c r="E34" s="6" t="inlineStr">
        <is>
          <t>Las 5 primeras se procesan; la 6.ª responde 429 E-10 con Retry-After</t>
        </is>
      </c>
      <c r="F34" s="6" t="inlineStr">
        <is>
          <t>Aprobado</t>
        </is>
      </c>
      <c r="G34" s="6" t="inlineStr">
        <is>
          <t>A-01 seis veces desde la misma IP: [201, 201, 201, 201, 201, 429]; la 6.ª responde 429 E-10</t>
        </is>
      </c>
    </row>
    <row r="35">
      <c r="A35" s="6" t="inlineStr">
        <is>
          <t>CP-RF-02-21</t>
        </is>
      </c>
      <c r="B35" s="6" t="inlineStr">
        <is>
          <t>RF-02</t>
        </is>
      </c>
      <c r="C35" s="6" t="inlineStr">
        <is>
          <t>Caja negra</t>
        </is>
      </c>
      <c r="D35" s="6" t="inlineStr">
        <is>
          <t>Cuenta PENDIENTE de 25 horas con su OTP y su token de activación; ejecutar limpiar_pendientes</t>
        </is>
      </c>
      <c r="E35" s="6" t="inlineStr">
        <is>
          <t>Se borran la cuenta y, por cascada, su OTP y su token; el correo queda libre y no quedan filas huérfanas</t>
        </is>
      </c>
      <c r="F35" s="6" t="inlineStr">
        <is>
          <t>Aprobado</t>
        </is>
      </c>
      <c r="G35" s="6" t="inlineStr">
        <is>
          <t>limpiar_pendientes con una cuenta de 25 h: 1 cuenta eliminada; su OTP y su token se borran por cascada; el correo queda libre</t>
        </is>
      </c>
    </row>
    <row r="36">
      <c r="A36" s="6" t="inlineStr">
        <is>
          <t>CP-RF-03-01</t>
        </is>
      </c>
      <c r="B36" s="6" t="inlineStr">
        <is>
          <t>RF-03</t>
        </is>
      </c>
      <c r="C36" s="6" t="inlineStr">
        <is>
          <t>Caja negra</t>
        </is>
      </c>
      <c r="D36" s="6" t="inlineStr">
        <is>
          <t>Correo y clave correctos de una cuenta ACTIVA</t>
        </is>
      </c>
      <c r="E36" s="6" t="inlineStr">
        <is>
          <t>Sesión iniciada y panel del agricultor abierto</t>
        </is>
      </c>
      <c r="F36" s="6" t="inlineStr">
        <is>
          <t>Aprobado</t>
        </is>
      </c>
      <c r="G36" s="6" t="inlineStr">
        <is>
          <t>Correo y clave correctos de una cuenta ACTIVA: 200 con token de sesión y rol AGRICULTOR</t>
        </is>
      </c>
    </row>
    <row r="37">
      <c r="A37" s="6" t="inlineStr">
        <is>
          <t>CP-RF-03-02</t>
        </is>
      </c>
      <c r="B37" s="6" t="inlineStr">
        <is>
          <t>RF-03</t>
        </is>
      </c>
      <c r="C37" s="6" t="inlineStr">
        <is>
          <t>Valores límite</t>
        </is>
      </c>
      <c r="D37" s="6" t="inlineStr">
        <is>
          <t>4 intentos fallidos y luego uno correcto / 5 intentos fallidos seguidos</t>
        </is>
      </c>
      <c r="E37" s="6" t="inlineStr">
        <is>
          <t>Con 4 entra; al 5.º se bloquea 15 minutos</t>
        </is>
      </c>
      <c r="F37" s="6" t="inlineStr">
        <is>
          <t>Aprobado</t>
        </is>
      </c>
      <c r="G37" s="6" t="inlineStr">
        <is>
          <t>4 fallos y luego la clave correcta: [401, 401, 401, 401] y 200; 5 fallos seguidos: [401, 401, 401, 401, 423] (bloqueo de 15 min)</t>
        </is>
      </c>
    </row>
    <row r="38">
      <c r="A38" s="6" t="inlineStr">
        <is>
          <t>CP-RF-03-03</t>
        </is>
      </c>
      <c r="B38" s="6" t="inlineStr">
        <is>
          <t>RF-03</t>
        </is>
      </c>
      <c r="C38" s="6" t="inlineStr">
        <is>
          <t>Caja negra</t>
        </is>
      </c>
      <c r="D38" s="6" t="inlineStr">
        <is>
          <t>Clave incorrecta</t>
        </is>
      </c>
      <c r="E38" s="6" t="inlineStr">
        <is>
          <t>Mensaje general que no dice si falló el correo o la clave</t>
        </is>
      </c>
      <c r="F38" s="6" t="inlineStr">
        <is>
          <t>Aprobado</t>
        </is>
      </c>
      <c r="G38" s="6" t="inlineStr">
        <is>
          <t>Clave incorrecta: 401 V-17 «Correo o clave incorrectos.»; el mensaje es idéntico al de un correo inexistente</t>
        </is>
      </c>
    </row>
    <row r="39">
      <c r="A39" s="6" t="inlineStr">
        <is>
          <t>CP-RF-03-04</t>
        </is>
      </c>
      <c r="B39" s="6" t="inlineStr">
        <is>
          <t>RF-03</t>
        </is>
      </c>
      <c r="C39" s="6" t="inlineStr">
        <is>
          <t>Caja negra</t>
        </is>
      </c>
      <c r="D39" s="6" t="inlineStr">
        <is>
          <t>Correo y clave correctos de una cuenta PENDIENTE</t>
        </is>
      </c>
      <c r="E39" s="6" t="inlineStr">
        <is>
          <t>No inicia sesión; muestra el mensaje de cuenta no activada y abre la pantalla del código</t>
        </is>
      </c>
      <c r="F39" s="6" t="inlineStr">
        <is>
          <t>Aprobado</t>
        </is>
      </c>
      <c r="G39" s="6" t="inlineStr">
        <is>
          <t>Cuenta PENDIENTE: no inicia sesión (403 V-19) y trae el token para abrir la pantalla del código</t>
        </is>
      </c>
    </row>
    <row r="40">
      <c r="A40" s="6" t="inlineStr">
        <is>
          <t>CP-RF-03-05</t>
        </is>
      </c>
      <c r="B40" s="6" t="inlineStr">
        <is>
          <t>RF-03</t>
        </is>
      </c>
      <c r="C40" s="6" t="inlineStr">
        <is>
          <t>Valores límite</t>
        </is>
      </c>
      <c r="D40" s="6" t="inlineStr">
        <is>
          <t>Reabrir la app en el día 29, 30 y 31 desde el inicio de sesión</t>
        </is>
      </c>
      <c r="E40" s="6" t="inlineStr">
        <is>
          <t>Día 29 y 30 conserva la sesión; día 31 pide ingresar</t>
        </is>
      </c>
      <c r="F40" s="6" t="inlineStr">
        <is>
          <t>Aprobado</t>
        </is>
      </c>
      <c r="G40" s="6" t="inlineStr">
        <is>
          <t>Sesión de 30 días revisada a mitad de los días 29, 30 y 31: 200 / 200 / 401 (V-46 en el día 31)</t>
        </is>
      </c>
    </row>
    <row r="41">
      <c r="A41" s="6" t="inlineStr">
        <is>
          <t>CP-RF-03-06</t>
        </is>
      </c>
      <c r="B41" s="6" t="inlineStr">
        <is>
          <t>RF-03</t>
        </is>
      </c>
      <c r="C41" s="6" t="inlineStr">
        <is>
          <t>Valores límite</t>
        </is>
      </c>
      <c r="D41" s="6" t="inlineStr">
        <is>
          <t>Ingresar con una clave de 65 caracteres</t>
        </is>
      </c>
      <c r="E41" s="6" t="inlineStr">
        <is>
          <t>Se rechaza con V-17, sin revelar que la longitud es el motivo</t>
        </is>
      </c>
      <c r="F41" s="6" t="inlineStr">
        <is>
          <t>Aprobado</t>
        </is>
      </c>
      <c r="G41" s="6" t="inlineStr">
        <is>
          <t>Clave de 65 caracteres: 401 V-17 «Correo o clave incorrectos.» (no revela que la longitud es el motivo)</t>
        </is>
      </c>
    </row>
    <row r="42">
      <c r="A42" s="6" t="inlineStr">
        <is>
          <t>CP-RF-03-07</t>
        </is>
      </c>
      <c r="B42" s="6" t="inlineStr">
        <is>
          <t>RF-03</t>
        </is>
      </c>
      <c r="C42" s="6" t="inlineStr">
        <is>
          <t>Valores límite</t>
        </is>
      </c>
      <c r="D42" s="6" t="inlineStr">
        <is>
          <t>A-05 once veces seguidas desde la misma IP en un minuto, con correos distintos</t>
        </is>
      </c>
      <c r="E42" s="6" t="inlineStr">
        <is>
          <t>Las 10 primeras responden según las credenciales; la 11.ª responde 429 E-10 con Retry-After</t>
        </is>
      </c>
      <c r="F42" s="6" t="inlineStr">
        <is>
          <t>Aprobado</t>
        </is>
      </c>
      <c r="G42" s="6" t="inlineStr">
        <is>
          <t>A-05 once veces seguidas desde la misma IP: [401, 401, 401, 401, 401, 401, 401, 401, 401, 401, 429]; la 11.ª responde 429 E-10 con Retry-After</t>
        </is>
      </c>
    </row>
    <row r="43">
      <c r="A43" s="6" t="inlineStr">
        <is>
          <t>CP-RF-04-01</t>
        </is>
      </c>
      <c r="B43" s="6" t="inlineStr">
        <is>
          <t>RF-04</t>
        </is>
      </c>
      <c r="C43" s="6" t="inlineStr">
        <is>
          <t>Caja negra</t>
        </is>
      </c>
      <c r="D43" s="6" t="inlineStr">
        <is>
          <t>Cerrar sesión con 3 registros PENDIENTES</t>
        </is>
      </c>
      <c r="E43" s="6" t="inlineStr">
        <is>
          <t>Advierte «3 registros sin enviar», pide confirmación y conserva los datos locales</t>
        </is>
      </c>
      <c r="F43" s="6" t="inlineStr">
        <is>
          <t>Aprobado</t>
        </is>
      </c>
      <c r="G43" s="6" t="inlineStr">
        <is>
          <t>Cerrar sesión con 3 registros PENDIENTES: advierte «Tiene 3 registros sin enviar», pide confirmación (Cancelar deja la sesión abierta) y conserva los datos locales</t>
        </is>
      </c>
    </row>
    <row r="44">
      <c r="A44" s="6" t="inlineStr">
        <is>
          <t>CP-RF-04-02</t>
        </is>
      </c>
      <c r="B44" s="6" t="inlineStr">
        <is>
          <t>RF-04</t>
        </is>
      </c>
      <c r="C44" s="6" t="inlineStr">
        <is>
          <t>Caja negra</t>
        </is>
      </c>
      <c r="D44" s="6" t="inlineStr">
        <is>
          <t>Cerrar sesión y volver a ingresar con la misma cuenta</t>
        </is>
      </c>
      <c r="E44" s="6" t="inlineStr">
        <is>
          <t>Los 3 registros siguen en el dispositivo y se envían</t>
        </is>
      </c>
      <c r="F44" s="6" t="inlineStr">
        <is>
          <t>Aprobado</t>
        </is>
      </c>
      <c r="G44" s="6" t="inlineStr">
        <is>
          <t>Cerrar sesión y volver a ingresar con la misma cuenta: los 3 registros creados sin conexión se conservaron al cerrar sesión y se enviaron solos al ingresar de nuevo (el servidor tiene los 3 gastos)</t>
        </is>
      </c>
    </row>
    <row r="45">
      <c r="A45" s="6" t="inlineStr">
        <is>
          <t>CP-RF-07-01</t>
        </is>
      </c>
      <c r="B45" s="6" t="inlineStr">
        <is>
          <t>RF-07</t>
        </is>
      </c>
      <c r="C45" s="6" t="inlineStr">
        <is>
          <t>Caja negra</t>
        </is>
      </c>
      <c r="D45" s="6" t="inlineStr">
        <is>
          <t>Ingresar sin fincas ni ciclos</t>
        </is>
      </c>
      <c r="E45" s="6" t="inlineStr">
        <is>
          <t>Muestra «Bienvenido a Sembrando Futuro» y el botón «Registrar mi primera finca»</t>
        </is>
      </c>
      <c r="F45" s="6" t="inlineStr">
        <is>
          <t>Aprobado</t>
        </is>
      </c>
      <c r="G45" s="6" t="inlineStr">
        <is>
          <t>Cuenta sin fincas ni ciclos: muestra «Bienvenido a Sembrando Futuro» y el botón «Registrar mi primera finca»</t>
        </is>
      </c>
    </row>
    <row r="46">
      <c r="A46" s="6" t="inlineStr">
        <is>
          <t>CP-RF-07-02</t>
        </is>
      </c>
      <c r="B46" s="6" t="inlineStr">
        <is>
          <t>RF-07</t>
        </is>
      </c>
      <c r="C46" s="6" t="inlineStr">
        <is>
          <t>Caja negra</t>
        </is>
      </c>
      <c r="D46" s="6" t="inlineStr">
        <is>
          <t>Ingresar con un ciclo con datos</t>
        </is>
      </c>
      <c r="E46" s="6" t="inlineStr">
        <is>
          <t>Muestra área efectiva, matas, gastos, ingresos y utilidad</t>
        </is>
      </c>
      <c r="F46" s="6" t="inlineStr">
        <is>
          <t>Aprobado</t>
        </is>
      </c>
      <c r="G46" s="6" t="inlineStr">
        <is>
          <t>Ciclo con datos: muestra área efectiva 0,9000 ha, 4.000 matas, gastos, ingresos y utilidad neta $ 350.000</t>
        </is>
      </c>
    </row>
    <row r="47">
      <c r="A47" s="6" t="inlineStr">
        <is>
          <t>CP-RF-07-03</t>
        </is>
      </c>
      <c r="B47" s="6" t="inlineStr">
        <is>
          <t>RF-07</t>
        </is>
      </c>
      <c r="C47" s="6" t="inlineStr">
        <is>
          <t>Caja negra</t>
        </is>
      </c>
      <c r="D47" s="6" t="inlineStr">
        <is>
          <t>Activar el modo sin conexión</t>
        </is>
      </c>
      <c r="E47" s="6" t="inlineStr">
        <is>
          <t>El indicador cambia a Offline y muestra los pendientes</t>
        </is>
      </c>
      <c r="F47" s="6" t="inlineStr">
        <is>
          <t>Aprobado</t>
        </is>
      </c>
      <c r="G47" s="6" t="inlineStr">
        <is>
          <t>Modo sin conexión: el indicador pasa a «○ Sin conexión · 1» y el panel muestra «Pendientes por enviar: 1 registro»</t>
        </is>
      </c>
    </row>
    <row r="48">
      <c r="A48" s="6" t="inlineStr">
        <is>
          <t>CP-RF-12-01</t>
        </is>
      </c>
      <c r="B48" s="6" t="inlineStr">
        <is>
          <t>RF-12</t>
        </is>
      </c>
      <c r="C48" s="6" t="inlineStr">
        <is>
          <t>Caja negra</t>
        </is>
      </c>
      <c r="D48" s="6" t="inlineStr">
        <is>
          <t>Crear una finca con el nombre «La Esperanza»</t>
        </is>
      </c>
      <c r="E48" s="6" t="inlineStr">
        <is>
          <t>La finca se guarda y aparece en Mis fincas</t>
        </is>
      </c>
      <c r="F48" s="6" t="inlineStr">
        <is>
          <t>Aprobado</t>
        </is>
      </c>
      <c r="G48" s="6" t="inlineStr">
        <is>
          <t>Servidor: finca «La Esperanza» aceptada y devuelta en la descarga (S-02). Pantalla «Mis fincas»: ver e2e_plan.cjs | Pantalla: finca «La Esperanza» guardada y visible en «Mis fincas»</t>
        </is>
      </c>
    </row>
    <row r="49">
      <c r="A49" s="6" t="inlineStr">
        <is>
          <t>CP-RF-12-02</t>
        </is>
      </c>
      <c r="B49" s="6" t="inlineStr">
        <is>
          <t>RF-12</t>
        </is>
      </c>
      <c r="C49" s="6" t="inlineStr">
        <is>
          <t>Particiones de equivalencia</t>
        </is>
      </c>
      <c r="D49" s="6" t="inlineStr">
        <is>
          <t>Nombre de finca '0' o 'aaaaa'</t>
        </is>
      </c>
      <c r="E49" s="6" t="inlineStr">
        <is>
          <t>Se rechaza con V-22</t>
        </is>
      </c>
      <c r="F49" s="6" t="inlineStr">
        <is>
          <t>Aprobado</t>
        </is>
      </c>
      <c r="G49" s="6" t="inlineStr">
        <is>
          <t>Nombres de finca «0» y «aaaaa»: ambos RECHAZADO con V-22</t>
        </is>
      </c>
    </row>
    <row r="50">
      <c r="A50" s="6" t="inlineStr">
        <is>
          <t>CP-RF-12-03</t>
        </is>
      </c>
      <c r="B50" s="6" t="inlineStr">
        <is>
          <t>RF-12</t>
        </is>
      </c>
      <c r="C50" s="6" t="inlineStr">
        <is>
          <t>Tabla de decisión</t>
        </is>
      </c>
      <c r="D50" s="6" t="inlineStr">
        <is>
          <t>S-01 con eliminado = true para una finca existente</t>
        </is>
      </c>
      <c r="E50" s="6" t="inlineStr">
        <is>
          <t>RECHAZADO con E-11; la finca queda como estaba</t>
        </is>
      </c>
      <c r="F50" s="6" t="inlineStr">
        <is>
          <t>Aprobado</t>
        </is>
      </c>
      <c r="G50" s="6" t="inlineStr">
        <is>
          <t>S-01 con eliminado = true para una finca existente: RECHAZADO E-11; la finca sigue como «La Esperanza», sin marca de eliminada</t>
        </is>
      </c>
    </row>
    <row r="51">
      <c r="A51" s="6" t="inlineStr">
        <is>
          <t>CP-RF-12-04</t>
        </is>
      </c>
      <c r="B51" s="6" t="inlineStr">
        <is>
          <t>RF-12</t>
        </is>
      </c>
      <c r="C51" s="6" t="inlineStr">
        <is>
          <t>Caja negra</t>
        </is>
      </c>
      <c r="D51" s="6" t="inlineStr">
        <is>
          <t>Crear una finca sin conexión y luego volver a tener internet</t>
        </is>
      </c>
      <c r="E51" s="6" t="inlineStr">
        <is>
          <t>Queda PENDIENTE y se envía sola al volver la conexión</t>
        </is>
      </c>
      <c r="F51" s="6" t="inlineStr">
        <is>
          <t>Aprobado</t>
        </is>
      </c>
      <c r="G51" s="6" t="inlineStr">
        <is>
          <t>Finca creada sin conexión queda PENDIENTE (1); al volver internet se envía sola y el servidor la tiene («Finca sin señal»)</t>
        </is>
      </c>
    </row>
    <row r="52">
      <c r="A52" s="6" t="inlineStr">
        <is>
          <t>CP-RF-13-01</t>
        </is>
      </c>
      <c r="B52" s="6" t="inlineStr">
        <is>
          <t>RF-13</t>
        </is>
      </c>
      <c r="C52" s="6" t="inlineStr">
        <is>
          <t>Caso oráculo</t>
        </is>
      </c>
      <c r="D52" s="6" t="inlineStr">
        <is>
          <t>Bruta 1,0 ha; no sembrable 1.000 m²</t>
        </is>
      </c>
      <c r="E52" s="6" t="inlineStr">
        <is>
          <t>Área efectiva 0,9000 ha</t>
        </is>
      </c>
      <c r="F52" s="6" t="inlineStr">
        <is>
          <t>Aprobado</t>
        </is>
      </c>
      <c r="G52" s="6" t="inlineStr">
        <is>
          <t>Servidor: Bruta 1,0 ha − 1.000 m² (0,1 ha): la función da 0.9000 ha y el servidor guarda 0.9 ha | Dispositivo: 1.000 m² = 0.1 ha; área efectiva 0.9 ha</t>
        </is>
      </c>
    </row>
    <row r="53">
      <c r="A53" s="6" t="inlineStr">
        <is>
          <t>CP-RF-13-02</t>
        </is>
      </c>
      <c r="B53" s="6" t="inlineStr">
        <is>
          <t>RF-13</t>
        </is>
      </c>
      <c r="C53" s="6" t="inlineStr">
        <is>
          <t>Valores límite</t>
        </is>
      </c>
      <c r="D53" s="6" t="inlineStr">
        <is>
          <t>No sembrable = bruta − 0,0001 / = bruta / mayor que la bruta</t>
        </is>
      </c>
      <c r="E53" s="6" t="inlineStr">
        <is>
          <t>El primero se acepta; los otros dos se rechazan</t>
        </is>
      </c>
      <c r="F53" s="6" t="inlineStr">
        <is>
          <t>Aprobado</t>
        </is>
      </c>
      <c r="G53" s="6" t="inlineStr">
        <is>
          <t>Servidor: No sembrable 0,9999 (bruta − 0,0001): ACEPTADO; 1,0 (= bruta) y 1,5 (&gt; bruta): RECHAZADO con V-26 | Pantalla: 1,0 ha y 1,5 ha no sembrables dan V-26; 0,9999 ha se acepta (efectiva 0,0001 ha) y el servidor lo recibe con área efectiva 0.0001</t>
        </is>
      </c>
    </row>
    <row r="54">
      <c r="A54" s="6" t="inlineStr">
        <is>
          <t>CP-RF-13-03</t>
        </is>
      </c>
      <c r="B54" s="6" t="inlineStr">
        <is>
          <t>RF-13</t>
        </is>
      </c>
      <c r="C54" s="6" t="inlineStr">
        <is>
          <t>Caso oráculo</t>
        </is>
      </c>
      <c r="D54" s="6" t="inlineStr">
        <is>
          <t>No sembrable 1 plaza (unidad regional)</t>
        </is>
      </c>
      <c r="E54" s="6" t="inlineStr">
        <is>
          <t>Se descuenta 0,64 ha</t>
        </is>
      </c>
      <c r="F54" s="6" t="inlineStr">
        <is>
          <t>Aprobado</t>
        </is>
      </c>
      <c r="G54" s="6" t="inlineStr">
        <is>
          <t>Pantalla: 1 plaza = 0,6400 ha; con 1,0 ha brutas la efectiva es 0,3600 ha | Dispositivo: 1 plaza = 0.64 ha; con 1,0 ha brutas la efectiva es 0.36 ha</t>
        </is>
      </c>
    </row>
    <row r="55">
      <c r="A55" s="6" t="inlineStr">
        <is>
          <t>CP-RF-13-04</t>
        </is>
      </c>
      <c r="B55" s="6" t="inlineStr">
        <is>
          <t>RF-13</t>
        </is>
      </c>
      <c r="C55" s="6" t="inlineStr">
        <is>
          <t>Valores límite</t>
        </is>
      </c>
      <c r="D55" s="6" t="inlineStr">
        <is>
          <t>Insertar con SQL directo un ciclo con area_efectiva_ha distinta de area_bruta_ha menos area_no_sembrable_ha; enviar el mismo ciclo con S-01 con un área efectiva errada</t>
        </is>
      </c>
      <c r="E55" s="6" t="inlineStr">
        <is>
          <t>SQL: la restricción CHECK lo rechaza; S-01: el servidor recalcula y guarda el valor correcto</t>
        </is>
      </c>
      <c r="F55" s="6" t="inlineStr">
        <is>
          <t>Aprobado</t>
        </is>
      </c>
      <c r="G55" s="6" t="inlineStr">
        <is>
          <t>SQL directo con efectiva 0,5 ≠ 1,0 − 0,1: la base lo rechaza (CHECK constraint failed: ck_ciclo_efectiva…). S-01 con efectiva errada de 5,0: el servidor guardó 0.9</t>
        </is>
      </c>
    </row>
    <row r="56">
      <c r="A56" s="6" t="inlineStr">
        <is>
          <t>CP-RF-14-01</t>
        </is>
      </c>
      <c r="B56" s="6" t="inlineStr">
        <is>
          <t>RF-14</t>
        </is>
      </c>
      <c r="C56" s="6" t="inlineStr">
        <is>
          <t>Caja negra</t>
        </is>
      </c>
      <c r="D56" s="6" t="inlineStr">
        <is>
          <t>Crear ciclo con nombre de lote opcional, área, pendiente, cultivo y fecha de siembra</t>
        </is>
      </c>
      <c r="E56" s="6" t="inlineStr">
        <is>
          <t>Ciclo en estado ACTIVO</t>
        </is>
      </c>
      <c r="F56" s="6" t="inlineStr">
        <is>
          <t>Aprobado</t>
        </is>
      </c>
      <c r="G56" s="6" t="inlineStr">
        <is>
          <t>Ciclo con lote «Lote Alto», 1,0 ha, pendiente 12 %, café y siembra 15/03/2026: ACEPTADO en estado ACTIVO</t>
        </is>
      </c>
    </row>
    <row r="57">
      <c r="A57" s="6" t="inlineStr">
        <is>
          <t>CP-RF-14-02</t>
        </is>
      </c>
      <c r="B57" s="6" t="inlineStr">
        <is>
          <t>RF-14</t>
        </is>
      </c>
      <c r="C57" s="6" t="inlineStr">
        <is>
          <t>Caja negra</t>
        </is>
      </c>
      <c r="D57" s="6" t="inlineStr">
        <is>
          <t>Crear ciclo sin elegir el cultivo</t>
        </is>
      </c>
      <c r="E57" s="6" t="inlineStr">
        <is>
          <t>Se rechaza con V-27 y mensaje claro</t>
        </is>
      </c>
      <c r="F57" s="6" t="inlineStr">
        <is>
          <t>Aprobado</t>
        </is>
      </c>
      <c r="G57" s="6" t="inlineStr">
        <is>
          <t>Ciclo_cultivo sin código de cultivo: RECHAZADO con V-27 «Seleccione un cultivo.»</t>
        </is>
      </c>
    </row>
    <row r="58">
      <c r="A58" s="6" t="inlineStr">
        <is>
          <t>CP-RF-14-03</t>
        </is>
      </c>
      <c r="B58" s="6" t="inlineStr">
        <is>
          <t>RF-14</t>
        </is>
      </c>
      <c r="C58" s="6" t="inlineStr">
        <is>
          <t>Valores límite</t>
        </is>
      </c>
      <c r="D58" s="6" t="inlineStr">
        <is>
          <t>Fecha de siembra 31/12/2019, 01/01/2020, hoy más un año y hoy más un año y un día</t>
        </is>
      </c>
      <c r="E58" s="6" t="inlineStr">
        <is>
          <t>31/12/2019 y el último valor se rechazan con V-48; los otros dos se aceptan</t>
        </is>
      </c>
      <c r="F58" s="6" t="inlineStr">
        <is>
          <t>Aprobado</t>
        </is>
      </c>
      <c r="G58" s="6" t="inlineStr">
        <is>
          <t>Fecha de siembra: 2019-12-31 → V-48, 2020-01-01 → ACEPTADO, 2027-10-28 → ACEPTADO, 2027-10-29 → V-48</t>
        </is>
      </c>
    </row>
    <row r="59">
      <c r="A59" s="6" t="inlineStr">
        <is>
          <t>CP-RF-14-04</t>
        </is>
      </c>
      <c r="B59" s="6" t="inlineStr">
        <is>
          <t>RF-14</t>
        </is>
      </c>
      <c r="C59" s="6" t="inlineStr">
        <is>
          <t>Valores límite</t>
        </is>
      </c>
      <c r="D59" s="6" t="inlineStr">
        <is>
          <t>Área bruta 0,0001 / 0,00009 / 10.000 / 10.000,0001 ha</t>
        </is>
      </c>
      <c r="E59" s="6" t="inlineStr">
        <is>
          <t>0,0001 y 10.000 se aceptan; los otros dos se rechazan</t>
        </is>
      </c>
      <c r="F59" s="6" t="inlineStr">
        <is>
          <t>Aprobado</t>
        </is>
      </c>
      <c r="G59" s="6" t="inlineStr">
        <is>
          <t>Área bruta (ha): 0.0001 → ACEPTADO, 9e-05 → V-24, 10000 → ACEPTADO, 10000.0001 → V-24</t>
        </is>
      </c>
    </row>
    <row r="60">
      <c r="A60" s="6" t="inlineStr">
        <is>
          <t>CP-RF-14-05</t>
        </is>
      </c>
      <c r="B60" s="6" t="inlineStr">
        <is>
          <t>RF-14</t>
        </is>
      </c>
      <c r="C60" s="6" t="inlineStr">
        <is>
          <t>Valores límite</t>
        </is>
      </c>
      <c r="D60" s="6" t="inlineStr">
        <is>
          <t>Vigencia 1 / 0 / 50 / 51 años y 2,5; y sin vigencia</t>
        </is>
      </c>
      <c r="E60" s="6" t="inlineStr">
        <is>
          <t>1 y 50 se aceptan; 0, 51 y 2,5 se rechazan con V-49; sin vigencia se acepta y no muestra semáforo</t>
        </is>
      </c>
      <c r="F60" s="6" t="inlineStr">
        <is>
          <t>Aprobado</t>
        </is>
      </c>
      <c r="G60" s="6" t="inlineStr">
        <is>
          <t>Vigencia: 1 → ACEPTADO, 0 → V-49, 50 → ACEPTADO, 51 → V-49, 2.5 → V-49, None → ACEPTADO; sin vigencia el resumen no trae fecha estimada ni semáforo</t>
        </is>
      </c>
    </row>
    <row r="61">
      <c r="A61" s="6" t="inlineStr">
        <is>
          <t>CP-RF-14-06</t>
        </is>
      </c>
      <c r="B61" s="6" t="inlineStr">
        <is>
          <t>RF-14</t>
        </is>
      </c>
      <c r="C61" s="6" t="inlineStr">
        <is>
          <t>Caja negra</t>
        </is>
      </c>
      <c r="D61" s="6" t="inlineStr">
        <is>
          <t>Agregar plátano (rectangular 3 × 2 m) a un ciclo que ya tiene café (cuadrado 1,5 m)</t>
        </is>
      </c>
      <c r="E61" s="6" t="inlineStr">
        <is>
          <t>El ciclo queda con dos cultivos, cada uno con su marco, y se calculan las matas de cada uno</t>
        </is>
      </c>
      <c r="F61" s="6" t="inlineStr">
        <is>
          <t>Aprobado</t>
        </is>
      </c>
      <c r="G61" s="6" t="inlineStr">
        <is>
          <t>Café cuadrado 1,5 m + plátano rectangular 3 × 2 m en el mismo ciclo: 2 cultivos, cada uno con su marco; matas 4.000 y 1.500 (total 5.500)</t>
        </is>
      </c>
    </row>
    <row r="62">
      <c r="A62" s="6" t="inlineStr">
        <is>
          <t>CP-RF-14-07</t>
        </is>
      </c>
      <c r="B62" s="6" t="inlineStr">
        <is>
          <t>RF-14</t>
        </is>
      </c>
      <c r="C62" s="6" t="inlineStr">
        <is>
          <t>Caja negra</t>
        </is>
      </c>
      <c r="D62" s="6" t="inlineStr">
        <is>
          <t>Agregar café otra vez al mismo ciclo; agregar un cultivo a un ciclo CERRADO</t>
        </is>
      </c>
      <c r="E62" s="6" t="inlineStr">
        <is>
          <t>El primero se rechaza con V-50; el segundo con V-31</t>
        </is>
      </c>
      <c r="F62" s="6" t="inlineStr">
        <is>
          <t>Aprobado</t>
        </is>
      </c>
      <c r="G62" s="6" t="inlineStr">
        <is>
          <t>Café repetido en el mismo ciclo: V-50; yuca agregada a un ciclo CERRADO: V-31</t>
        </is>
      </c>
    </row>
    <row r="63">
      <c r="A63" s="6" t="inlineStr">
        <is>
          <t>CP-RF-14-08</t>
        </is>
      </c>
      <c r="B63" s="6" t="inlineStr">
        <is>
          <t>RF-14</t>
        </is>
      </c>
      <c r="C63" s="6" t="inlineStr">
        <is>
          <t>Tabla de decisión</t>
        </is>
      </c>
      <c r="D63" s="6" t="inlineStr">
        <is>
          <t>Vigencia 10 años con 2 de uso; 4 años con 2,5 de uso; 4 años con 3,5 de uso; ciclo vencido; sin vigencia</t>
        </is>
      </c>
      <c r="E63" s="6" t="inlineStr">
        <is>
          <t>Verde (falta 80 %); amarillo (37,5 %); rojo (12,5 %); rojo; sin semáforo</t>
        </is>
      </c>
      <c r="F63" s="6" t="inlineStr">
        <is>
          <t>Aprobado</t>
        </is>
      </c>
      <c r="G63" s="6" t="inlineStr">
        <is>
          <t>Servidor: Semáforo: 10 años con 2 de uso: VERDE (falta 80.0 %); 4 años con 2,5 de uso: AMARILLO (falta 37.5 %); 4 años con 3,5 de uso: ROJO (falta 12.5 %); ciclo vencido (3 años con 4 de uso): ROJO (falta -33.3 %); sin vigencia: sin semáforo | Dispositivo: VERDE / AMARILLO / ROJO / ROJO / sin semáforo para 10/2, 4/2,5, 4/3,5, vencido y sin vigencia</t>
        </is>
      </c>
    </row>
    <row r="64">
      <c r="A64" s="6" t="inlineStr">
        <is>
          <t>CP-RF-15-01</t>
        </is>
      </c>
      <c r="B64" s="6" t="inlineStr">
        <is>
          <t>RF-15</t>
        </is>
      </c>
      <c r="C64" s="6" t="inlineStr">
        <is>
          <t>Tabla de decisión</t>
        </is>
      </c>
      <c r="D64" s="6" t="inlineStr">
        <is>
          <t>Cerrar ciclo ACTIVO con ingresos y fecha de cierre válida</t>
        </is>
      </c>
      <c r="E64" s="6" t="inlineStr">
        <is>
          <t>Pasa a CERRADO, queda de solo lectura</t>
        </is>
      </c>
      <c r="F64" s="6" t="inlineStr">
        <is>
          <t>Aprobado</t>
        </is>
      </c>
      <c r="G64" s="6" t="inlineStr">
        <is>
          <t>Cierre con ingresos y fecha de hoy: ACEPTADO, estado CERRADO; un gasto nuevo posterior se rechaza con V-31 (solo lectura)</t>
        </is>
      </c>
    </row>
    <row r="65">
      <c r="A65" s="6" t="inlineStr">
        <is>
          <t>CP-RF-15-02</t>
        </is>
      </c>
      <c r="B65" s="6" t="inlineStr">
        <is>
          <t>RF-15</t>
        </is>
      </c>
      <c r="C65" s="6" t="inlineStr">
        <is>
          <t>Tabla de decisión</t>
        </is>
      </c>
      <c r="D65" s="6" t="inlineStr">
        <is>
          <t>Cerrar ciclo sin ingresos registrados</t>
        </is>
      </c>
      <c r="E65" s="6" t="inlineStr">
        <is>
          <t>Pide confirmación; al confirmar cierra</t>
        </is>
      </c>
      <c r="F65" s="6" t="inlineStr">
        <is>
          <t>Aprobado</t>
        </is>
      </c>
      <c r="G65" s="6" t="inlineStr">
        <is>
          <t>Ciclo sin ingresos: pide confirmación «Este ciclo no tiene ingresos. ¿Desea cerrarlo de todos modos?»; al confirmar, se cierra</t>
        </is>
      </c>
    </row>
    <row r="66">
      <c r="A66" s="6" t="inlineStr">
        <is>
          <t>CP-RF-15-03</t>
        </is>
      </c>
      <c r="B66" s="6" t="inlineStr">
        <is>
          <t>RF-15</t>
        </is>
      </c>
      <c r="C66" s="6" t="inlineStr">
        <is>
          <t>Valores límite</t>
        </is>
      </c>
      <c r="D66" s="6" t="inlineStr">
        <is>
          <t>Fecha de cierre igual a la de siembra / un día anterior</t>
        </is>
      </c>
      <c r="E66" s="6" t="inlineStr">
        <is>
          <t>La igual se acepta; la anterior se rechaza</t>
        </is>
      </c>
      <c r="F66" s="6" t="inlineStr">
        <is>
          <t>Aprobado</t>
        </is>
      </c>
      <c r="G66" s="6" t="inlineStr">
        <is>
          <t>Cierre el mismo día de la siembra: ACEPTADO; un día antes: RECHAZADO con V-29</t>
        </is>
      </c>
    </row>
    <row r="67">
      <c r="A67" s="6" t="inlineStr">
        <is>
          <t>CP-RF-15-04</t>
        </is>
      </c>
      <c r="B67" s="6" t="inlineStr">
        <is>
          <t>RF-15</t>
        </is>
      </c>
      <c r="C67" s="6" t="inlineStr">
        <is>
          <t>Caja negra</t>
        </is>
      </c>
      <c r="D67" s="6" t="inlineStr">
        <is>
          <t>Intentar agregar un gasto a un ciclo CERRADO</t>
        </is>
      </c>
      <c r="E67" s="6" t="inlineStr">
        <is>
          <t>Se rechaza</t>
        </is>
      </c>
      <c r="F67" s="6" t="inlineStr">
        <is>
          <t>Aprobado</t>
        </is>
      </c>
      <c r="G67" s="6" t="inlineStr">
        <is>
          <t>Gasto nuevo en un ciclo CERRADO: RECHAZADO con V-31 «Este ciclo está cerrado y no admite nuevos registros.»</t>
        </is>
      </c>
    </row>
    <row r="68">
      <c r="A68" s="6" t="inlineStr">
        <is>
          <t>CP-RF-15-05</t>
        </is>
      </c>
      <c r="B68" s="6" t="inlineStr">
        <is>
          <t>RF-15</t>
        </is>
      </c>
      <c r="C68" s="6" t="inlineStr">
        <is>
          <t>Valores límite</t>
        </is>
      </c>
      <c r="D68" s="6" t="inlineStr">
        <is>
          <t>Cerrar un ciclo con fecha de cierre de hoy y con la de mañana</t>
        </is>
      </c>
      <c r="E68" s="6" t="inlineStr">
        <is>
          <t>La de hoy cierra el ciclo; la de mañana se rechaza con V-29</t>
        </is>
      </c>
      <c r="F68" s="6" t="inlineStr">
        <is>
          <t>Aprobado</t>
        </is>
      </c>
      <c r="G68" s="6" t="inlineStr">
        <is>
          <t>Cierre con fecha de hoy: ACEPTADO; con la de mañana: RECHAZADO con V-29</t>
        </is>
      </c>
    </row>
    <row r="69">
      <c r="A69" s="6" t="inlineStr">
        <is>
          <t>CP-RF-15-06</t>
        </is>
      </c>
      <c r="B69" s="6" t="inlineStr">
        <is>
          <t>RF-15</t>
        </is>
      </c>
      <c r="C69" s="6" t="inlineStr">
        <is>
          <t>Caja negra</t>
        </is>
      </c>
      <c r="D69" s="6" t="inlineStr">
        <is>
          <t>Enviar al mismo tiempo el cierre de un ciclo (S-01) y un gasto nuevo de ese ciclo</t>
        </is>
      </c>
      <c r="E69" s="6" t="inlineStr">
        <is>
          <t>Si gana el cierre, el gasto se rechaza con V-31; si gana el gasto, queda registrado antes del cierre; nunca queda un gasto nuevo en un ciclo CERRADO</t>
        </is>
      </c>
      <c r="F69" s="6" t="inlineStr">
        <is>
          <t>Aprobado</t>
        </is>
      </c>
      <c r="G69" s="6" t="inlineStr">
        <is>
          <t>Orden de llegada: cierre_primero: gasto V-31, cierre ACEPTADO; gasto_primero: gasto ACEPTADO, cierre ACEPTADO; gasto_hecho_antes_sin_conexion: gasto ACEPTADO, cierre ACEPTADO. Nunca quedó un gasto posterior al cierre en un ciclo CERRADO</t>
        </is>
      </c>
    </row>
    <row r="70">
      <c r="A70" s="6" t="inlineStr">
        <is>
          <t>CP-RF-17-01</t>
        </is>
      </c>
      <c r="B70" s="6" t="inlineStr">
        <is>
          <t>RF-17</t>
        </is>
      </c>
      <c r="C70" s="6" t="inlineStr">
        <is>
          <t>Caja negra</t>
        </is>
      </c>
      <c r="D70" s="6" t="inlineStr">
        <is>
          <t>Abrir la ficha de café con internet y luego sin conexión</t>
        </is>
      </c>
      <c r="E70" s="6" t="inlineStr">
        <is>
          <t>La ficha se ve igual en ambos casos</t>
        </is>
      </c>
      <c r="F70" s="6" t="inlineStr">
        <is>
          <t>Aprobado</t>
        </is>
      </c>
      <c r="G70" s="6" t="inlineStr">
        <is>
          <t>La ficha del café se ve idéntica con y sin conexión (603 caracteres: distancias, marcos, fuente y costos de referencia)</t>
        </is>
      </c>
    </row>
    <row r="71">
      <c r="A71" s="6" t="inlineStr">
        <is>
          <t>CP-RF-17-02</t>
        </is>
      </c>
      <c r="B71" s="6" t="inlineStr">
        <is>
          <t>RF-17</t>
        </is>
      </c>
      <c r="C71" s="6" t="inlineStr">
        <is>
          <t>Caja negra</t>
        </is>
      </c>
      <c r="D71" s="6" t="inlineStr">
        <is>
          <t>Consultar los 3 cultivos semilla</t>
        </is>
      </c>
      <c r="E71" s="6" t="inlineStr">
        <is>
          <t>Cada ficha muestra distancias, marcos, fuente y costos de referencia</t>
        </is>
      </c>
      <c r="F71" s="6" t="inlineStr">
        <is>
          <t>Aprobado</t>
        </is>
      </c>
      <c r="G71" s="6" t="inlineStr">
        <is>
          <t>Catálogo: CAFE 1.0–2.0 m, marcos ['cuadrado', 'rectangular', 'tresbolillo'], fuente «Cenicafé (Centro Nacional de Investigaciones de Café) y Federación Nacional de Cafeteros»; PLATANO 2.0–3.5 m, marcos ['cuadrado', 'rectangular', 'tresbolillo'], fuente «ICA (Instituto Colombiano Agropecuario) y Agrosavia»; YUCA 0.8–1.0 m, marcos ['cuadrado', 'rectangular', 'tresbolillo'], fuente «Agrosavia (ficha de la variedad La Francesa: 1 m × 1 m, 10.000 plantas por hectárea) y CIAT (Castro, 1980: 10.000 y 15.625 plantas por hectárea)»</t>
        </is>
      </c>
    </row>
    <row r="72">
      <c r="A72" s="6" t="inlineStr">
        <is>
          <t>CP-RF-17-03</t>
        </is>
      </c>
      <c r="B72" s="6" t="inlineStr">
        <is>
          <t>RF-17</t>
        </is>
      </c>
      <c r="C72" s="6" t="inlineStr">
        <is>
          <t>Caja negra</t>
        </is>
      </c>
      <c r="D72" s="6" t="inlineStr">
        <is>
          <t>Abrir la ficha técnica del café</t>
        </is>
      </c>
      <c r="E72" s="6" t="inlineStr">
        <is>
          <t>Muestra por cada 1.000 plantas: hoyado $300, colino $100, insumos $830 al año, 4 jornales de limpieza y 3 de riego</t>
        </is>
      </c>
      <c r="F72" s="6" t="inlineStr">
        <is>
          <t>Aprobado</t>
        </is>
      </c>
      <c r="G72" s="6" t="inlineStr">
        <is>
          <t>Ficha del café por cada 1000 plantas: hoyado $300, colino $100, insumos $830 al año, 4 jornales de limpieza y 3 de riego</t>
        </is>
      </c>
    </row>
    <row r="73">
      <c r="A73" s="6" t="inlineStr">
        <is>
          <t>CP-RF-18-01</t>
        </is>
      </c>
      <c r="B73" s="6" t="inlineStr">
        <is>
          <t>RF-18</t>
        </is>
      </c>
      <c r="C73" s="6" t="inlineStr">
        <is>
          <t>Caso oráculo</t>
        </is>
      </c>
      <c r="D73" s="6" t="inlineStr">
        <is>
          <t>Cuadrado, d = 1 m</t>
        </is>
      </c>
      <c r="E73" s="6" t="inlineStr">
        <is>
          <t>10.000 matas/ha</t>
        </is>
      </c>
      <c r="F73" s="6" t="inlineStr">
        <is>
          <t>Aprobado</t>
        </is>
      </c>
      <c r="G73" s="6" t="inlineStr">
        <is>
          <t>Servidor: Cuadrado d = 1 m: 10,000.00 matas/ha | Dispositivo: cuadrado d = 1 m → 10.000 matas/ha</t>
        </is>
      </c>
    </row>
    <row r="74">
      <c r="A74" s="6" t="inlineStr">
        <is>
          <t>CP-RF-18-02</t>
        </is>
      </c>
      <c r="B74" s="6" t="inlineStr">
        <is>
          <t>RF-18</t>
        </is>
      </c>
      <c r="C74" s="6" t="inlineStr">
        <is>
          <t>Caso oráculo</t>
        </is>
      </c>
      <c r="D74" s="6" t="inlineStr">
        <is>
          <t>Rectangular 2 × 1,5 m</t>
        </is>
      </c>
      <c r="E74" s="6" t="inlineStr">
        <is>
          <t>3.333,33 matas/ha</t>
        </is>
      </c>
      <c r="F74" s="6" t="inlineStr">
        <is>
          <t>Aprobado</t>
        </is>
      </c>
      <c r="G74" s="6" t="inlineStr">
        <is>
          <t>Servidor: Rectangular 2 × 1,5 m: 3333.33 matas/ha | Dispositivo: rectangular 2 × 1,5 m → 3.333,33 matas/ha</t>
        </is>
      </c>
    </row>
    <row r="75">
      <c r="A75" s="6" t="inlineStr">
        <is>
          <t>CP-RF-18-03</t>
        </is>
      </c>
      <c r="B75" s="6" t="inlineStr">
        <is>
          <t>RF-18</t>
        </is>
      </c>
      <c r="C75" s="6" t="inlineStr">
        <is>
          <t>Caso oráculo</t>
        </is>
      </c>
      <c r="D75" s="6" t="inlineStr">
        <is>
          <t>Tresbolillo d = 3 m</t>
        </is>
      </c>
      <c r="E75" s="6" t="inlineStr">
        <is>
          <t>1.283,0012 matas/ha</t>
        </is>
      </c>
      <c r="F75" s="6" t="inlineStr">
        <is>
          <t>Aprobado</t>
        </is>
      </c>
      <c r="G75" s="6" t="inlineStr">
        <is>
          <t>Servidor: Tresbolillo d = 3 m: 1283.0 matas/ha (valor exacto 1283.0012). La función redondea a 2 decimales | Dispositivo: tresbolillo d = 3 m → 1283.0012 matas/ha</t>
        </is>
      </c>
    </row>
    <row r="76">
      <c r="A76" s="6" t="inlineStr">
        <is>
          <t>CP-RF-18-04</t>
        </is>
      </c>
      <c r="B76" s="6" t="inlineStr">
        <is>
          <t>RF-18</t>
        </is>
      </c>
      <c r="C76" s="6" t="inlineStr">
        <is>
          <t>Caso oráculo</t>
        </is>
      </c>
      <c r="D76" s="6" t="inlineStr">
        <is>
          <t>Café, cuadrado 1,5 × 1,5 m; ciclo con 0,9 ha efectivas</t>
        </is>
      </c>
      <c r="E76" s="6" t="inlineStr">
        <is>
          <t>4.444,44 matas/ha y 4.000 matas en el ciclo</t>
        </is>
      </c>
      <c r="F76" s="6" t="inlineStr">
        <is>
          <t>Aprobado</t>
        </is>
      </c>
      <c r="G76" s="6" t="inlineStr">
        <is>
          <t>Servidor: Café cuadrado 1,5 m: 4444.44 matas/ha; ciclo de 0,9 ha efectivas: 4000 matas | Dispositivo: café cuadrado 1,5 m → 4444.44 matas/ha y 4000 matas en 0,9 ha</t>
        </is>
      </c>
    </row>
    <row r="77">
      <c r="A77" s="6" t="inlineStr">
        <is>
          <t>CP-RF-18-05</t>
        </is>
      </c>
      <c r="B77" s="6" t="inlineStr">
        <is>
          <t>RF-18</t>
        </is>
      </c>
      <c r="C77" s="6" t="inlineStr">
        <is>
          <t>Valores límite</t>
        </is>
      </c>
      <c r="D77" s="6" t="inlineStr">
        <is>
          <t>Distancia = mínimo del catálogo − 0,01 / mínimo / máximo / máximo + 0,01</t>
        </is>
      </c>
      <c r="E77" s="6" t="inlineStr">
        <is>
          <t>Advertencia solo en el primero y el último; el cálculo no se bloquea</t>
        </is>
      </c>
      <c r="F77" s="6" t="inlineStr">
        <is>
          <t>Aprobado</t>
        </is>
      </c>
      <c r="G77" s="6" t="inlineStr">
        <is>
          <t>Rango del café 1,0–2,0 m: 0,99 → advertencia V-34; 1,0 y 2,0 → sin advertencia; 2,01 → V-34; el cálculo se hace siempre</t>
        </is>
      </c>
    </row>
    <row r="78">
      <c r="A78" s="6" t="inlineStr">
        <is>
          <t>CP-RF-18-06</t>
        </is>
      </c>
      <c r="B78" s="6" t="inlineStr">
        <is>
          <t>RF-18</t>
        </is>
      </c>
      <c r="C78" s="6" t="inlineStr">
        <is>
          <t>Caja negra</t>
        </is>
      </c>
      <c r="D78" s="6" t="inlineStr">
        <is>
          <t>Distancia 0 o negativa</t>
        </is>
      </c>
      <c r="E78" s="6" t="inlineStr">
        <is>
          <t>Se pide corregir; no se calcula</t>
        </is>
      </c>
      <c r="F78" s="6" t="inlineStr">
        <is>
          <t>Aprobado</t>
        </is>
      </c>
      <c r="G78" s="6" t="inlineStr">
        <is>
          <t>Distancia 0 y −1: la función devuelve error V-33 y no calcula</t>
        </is>
      </c>
    </row>
    <row r="79">
      <c r="A79" s="6" t="inlineStr">
        <is>
          <t>CP-RF-18-07</t>
        </is>
      </c>
      <c r="B79" s="6" t="inlineStr">
        <is>
          <t>RF-18</t>
        </is>
      </c>
      <c r="C79" s="6" t="inlineStr">
        <is>
          <t>Valores límite</t>
        </is>
      </c>
      <c r="D79" s="6" t="inlineStr">
        <is>
          <t>Distancia de 0,009 / 0,01 / 10 / 10,01 metros en el marco cuadrado</t>
        </is>
      </c>
      <c r="E79" s="6" t="inlineStr">
        <is>
          <t>0,009 y 10,01 se rechazan con V-33; 0,01 y 10 se aceptan</t>
        </is>
      </c>
      <c r="F79" s="6" t="inlineStr">
        <is>
          <t>Aprobado</t>
        </is>
      </c>
      <c r="G79" s="6" t="inlineStr">
        <is>
          <t>Distancia del marco cuadrado (m): 0.009 → V-33, 0.01 → ACEPTADO, 10 → ACEPTADO, 10.01 → V-33</t>
        </is>
      </c>
    </row>
    <row r="80">
      <c r="A80" s="6" t="inlineStr">
        <is>
          <t>CP-RF-23-01</t>
        </is>
      </c>
      <c r="B80" s="6" t="inlineStr">
        <is>
          <t>RF-23</t>
        </is>
      </c>
      <c r="C80" s="6" t="inlineStr">
        <is>
          <t>Valores límite</t>
        </is>
      </c>
      <c r="D80" s="6" t="inlineStr">
        <is>
          <t>Monto 0 / 1 / 50.000.000 / 50.000.001 COP</t>
        </is>
      </c>
      <c r="E80" s="6" t="inlineStr">
        <is>
          <t>1 y 50.000.000 se aceptan; 0 y 50.000.001 se rechazan</t>
        </is>
      </c>
      <c r="F80" s="6" t="inlineStr">
        <is>
          <t>Aprobado</t>
        </is>
      </c>
      <c r="G80" s="6" t="inlineStr">
        <is>
          <t>Monto del gasto (COP): 0 → V-35, 1 → ACEPTADO, 50000000 → ACEPTADO, 50000001 → V-35</t>
        </is>
      </c>
    </row>
    <row r="81">
      <c r="A81" s="6" t="inlineStr">
        <is>
          <t>CP-RF-23-02</t>
        </is>
      </c>
      <c r="B81" s="6" t="inlineStr">
        <is>
          <t>RF-23</t>
        </is>
      </c>
      <c r="C81" s="6" t="inlineStr">
        <is>
          <t>Particiones de equivalencia</t>
        </is>
      </c>
      <c r="D81" s="6" t="inlineStr">
        <is>
          <t>Monto '1e5', '-5', 'abc'</t>
        </is>
      </c>
      <c r="E81" s="6" t="inlineStr">
        <is>
          <t>Todos se rechazan</t>
        </is>
      </c>
      <c r="F81" s="6" t="inlineStr">
        <is>
          <t>Aprobado</t>
        </is>
      </c>
      <c r="G81" s="6" t="inlineStr">
        <is>
          <t>Monto «1e5», «-5» y «abc»: 1e5 → V-36, -5 → V-36, abc → V-36</t>
        </is>
      </c>
    </row>
    <row r="82">
      <c r="A82" s="6" t="inlineStr">
        <is>
          <t>CP-RF-23-03</t>
        </is>
      </c>
      <c r="B82" s="6" t="inlineStr">
        <is>
          <t>RF-23</t>
        </is>
      </c>
      <c r="C82" s="6" t="inlineStr">
        <is>
          <t>Caja negra</t>
        </is>
      </c>
      <c r="D82" s="6" t="inlineStr">
        <is>
          <t>Registrar un gasto sin conexión</t>
        </is>
      </c>
      <c r="E82" s="6" t="inlineStr">
        <is>
          <t>Se guarda PENDIENTE y la utilidad se actualiza</t>
        </is>
      </c>
      <c r="F82" s="6" t="inlineStr">
        <is>
          <t>Aprobado</t>
        </is>
      </c>
      <c r="G82" s="6" t="inlineStr">
        <is>
          <t>Sin conexión: el gasto de $ 30.000 queda PENDIENTE (1) y la utilidad baja de $ 350.000 a $ 320.000</t>
        </is>
      </c>
    </row>
    <row r="83">
      <c r="A83" s="6" t="inlineStr">
        <is>
          <t>CP-RF-23-04</t>
        </is>
      </c>
      <c r="B83" s="6" t="inlineStr">
        <is>
          <t>RF-23</t>
        </is>
      </c>
      <c r="C83" s="6" t="inlineStr">
        <is>
          <t>Valores límite</t>
        </is>
      </c>
      <c r="D83" s="6" t="inlineStr">
        <is>
          <t>Gasto con fecha de hoy, de mañana y de un día antes de la siembra del ciclo</t>
        </is>
      </c>
      <c r="E83" s="6" t="inlineStr">
        <is>
          <t>Hoy se acepta; mañana y el día anterior a la siembra se rechazan con V-47</t>
        </is>
      </c>
      <c r="F83" s="6" t="inlineStr">
        <is>
          <t>Aprobado</t>
        </is>
      </c>
      <c r="G83" s="6" t="inlineStr">
        <is>
          <t>Fecha del gasto: hoy → ACEPTADO, mañana → V-47, un día antes de la siembra → V-47</t>
        </is>
      </c>
    </row>
    <row r="84">
      <c r="A84" s="6" t="inlineStr">
        <is>
          <t>CP-RF-23-05</t>
        </is>
      </c>
      <c r="B84" s="6" t="inlineStr">
        <is>
          <t>RF-23</t>
        </is>
      </c>
      <c r="C84" s="6" t="inlineStr">
        <is>
          <t>Caja negra</t>
        </is>
      </c>
      <c r="D84" s="6" t="inlineStr">
        <is>
          <t>Escribir '31/02/2026' como fecha del gasto</t>
        </is>
      </c>
      <c r="E84" s="6" t="inlineStr">
        <is>
          <t>Se rechaza con V-28 y se conserva lo escrito</t>
        </is>
      </c>
      <c r="F84" s="6" t="inlineStr">
        <is>
          <t>Aprobado</t>
        </is>
      </c>
      <c r="G84" s="6" t="inlineStr">
        <is>
          <t>Servidor: fecha «31/02/2026» RECHAZADA con V-28 «Escriba una fecha válida (día/mes/año).» | Pantalla: fecha «31/02/2026» rechazada con V-28 y el campo conserva lo escrito («31/02/2026»)</t>
        </is>
      </c>
    </row>
    <row r="85">
      <c r="A85" s="6" t="inlineStr">
        <is>
          <t>CP-RF-24-01</t>
        </is>
      </c>
      <c r="B85" s="6" t="inlineStr">
        <is>
          <t>RF-24</t>
        </is>
      </c>
      <c r="C85" s="6" t="inlineStr">
        <is>
          <t>Valores límite</t>
        </is>
      </c>
      <c r="D85" s="6" t="inlineStr">
        <is>
          <t>Jornales 0,4 / 0,5 / 1,25 / 999 / 999,5</t>
        </is>
      </c>
      <c r="E85" s="6" t="inlineStr">
        <is>
          <t>0,5 y 999 se aceptan; 0,4, 1,25 y 999,5 se rechazan</t>
        </is>
      </c>
      <c r="F85" s="6" t="inlineStr">
        <is>
          <t>Aprobado</t>
        </is>
      </c>
      <c r="G85" s="6" t="inlineStr">
        <is>
          <t>Número de jornales: 0.4 → V-39, 0.5 → ACEPTADO, 1.25 → V-39, 999 → ACEPTADO, 999.5 → V-39</t>
        </is>
      </c>
    </row>
    <row r="86">
      <c r="A86" s="6" t="inlineStr">
        <is>
          <t>CP-RF-24-02</t>
        </is>
      </c>
      <c r="B86" s="6" t="inlineStr">
        <is>
          <t>RF-24</t>
        </is>
      </c>
      <c r="C86" s="6" t="inlineStr">
        <is>
          <t>Caso oráculo</t>
        </is>
      </c>
      <c r="D86" s="6" t="inlineStr">
        <is>
          <t>3 jornales a $60.000</t>
        </is>
      </c>
      <c r="E86" s="6" t="inlineStr">
        <is>
          <t>Costo total $180.000</t>
        </is>
      </c>
      <c r="F86" s="6" t="inlineStr">
        <is>
          <t>Aprobado</t>
        </is>
      </c>
      <c r="G86" s="6" t="inlineStr">
        <is>
          <t>Servidor: 3 jornales × $60.000: la función da $180.000 y el resumen del servidor $180.000 | Dispositivo: 3 jornales × $60.000 = $180.000</t>
        </is>
      </c>
    </row>
    <row r="87">
      <c r="A87" s="6" t="inlineStr">
        <is>
          <t>CP-RF-24-03</t>
        </is>
      </c>
      <c r="B87" s="6" t="inlineStr">
        <is>
          <t>RF-24</t>
        </is>
      </c>
      <c r="C87" s="6" t="inlineStr">
        <is>
          <t>Valores límite</t>
        </is>
      </c>
      <c r="D87" s="6" t="inlineStr">
        <is>
          <t>Valor diario 0 / 1 COP</t>
        </is>
      </c>
      <c r="E87" s="6" t="inlineStr">
        <is>
          <t>0 se rechaza; 1 se acepta</t>
        </is>
      </c>
      <c r="F87" s="6" t="inlineStr">
        <is>
          <t>Aprobado</t>
        </is>
      </c>
      <c r="G87" s="6" t="inlineStr">
        <is>
          <t>Valor diario del jornal (COP): 0 → V-40, 1 → ACEPTADO</t>
        </is>
      </c>
    </row>
    <row r="88">
      <c r="A88" s="6" t="inlineStr">
        <is>
          <t>CP-RF-24-04</t>
        </is>
      </c>
      <c r="B88" s="6" t="inlineStr">
        <is>
          <t>RF-24</t>
        </is>
      </c>
      <c r="C88" s="6" t="inlineStr">
        <is>
          <t>Valores límite</t>
        </is>
      </c>
      <c r="D88" s="6" t="inlineStr">
        <is>
          <t>Jornal con fecha de mañana y jornal con fecha igual a la de siembra</t>
        </is>
      </c>
      <c r="E88" s="6" t="inlineStr">
        <is>
          <t>El de mañana se rechaza con V-47; el de la fecha de siembra se acepta</t>
        </is>
      </c>
      <c r="F88" s="6" t="inlineStr">
        <is>
          <t>Aprobado</t>
        </is>
      </c>
      <c r="G88" s="6" t="inlineStr">
        <is>
          <t>Fecha del jornal: mañana → V-47, fecha de siembra → ACEPTADO</t>
        </is>
      </c>
    </row>
    <row r="89">
      <c r="A89" s="6" t="inlineStr">
        <is>
          <t>CP-RF-25-01</t>
        </is>
      </c>
      <c r="B89" s="6" t="inlineStr">
        <is>
          <t>RF-25</t>
        </is>
      </c>
      <c r="C89" s="6" t="inlineStr">
        <is>
          <t>Valores límite</t>
        </is>
      </c>
      <c r="D89" s="6" t="inlineStr">
        <is>
          <t>Cantidad 0,09 / 0,1 / 10.000 / 10.001</t>
        </is>
      </c>
      <c r="E89" s="6" t="inlineStr">
        <is>
          <t>0,1 y 10.000 se aceptan; los otros se rechazan</t>
        </is>
      </c>
      <c r="F89" s="6" t="inlineStr">
        <is>
          <t>Aprobado</t>
        </is>
      </c>
      <c r="G89" s="6" t="inlineStr">
        <is>
          <t>Cantidad vendida: 0.09 → V-41, 0.1 → ACEPTADO, 10000 → ACEPTADO, 10001 → V-41</t>
        </is>
      </c>
    </row>
    <row r="90">
      <c r="A90" s="6" t="inlineStr">
        <is>
          <t>CP-RF-25-02</t>
        </is>
      </c>
      <c r="B90" s="6" t="inlineStr">
        <is>
          <t>RF-25</t>
        </is>
      </c>
      <c r="C90" s="6" t="inlineStr">
        <is>
          <t>Valores límite</t>
        </is>
      </c>
      <c r="D90" s="6" t="inlineStr">
        <is>
          <t>Precio unitario 0 / 1 / 50.000.000 / 50.000.001 COP</t>
        </is>
      </c>
      <c r="E90" s="6" t="inlineStr">
        <is>
          <t>1 y 50.000.000 se aceptan; los otros se rechazan</t>
        </is>
      </c>
      <c r="F90" s="6" t="inlineStr">
        <is>
          <t>Aprobado</t>
        </is>
      </c>
      <c r="G90" s="6" t="inlineStr">
        <is>
          <t>Precio unitario (COP): 0 → V-42, 1 → ACEPTADO, 50000000 → ACEPTADO, 50000001 → V-42</t>
        </is>
      </c>
    </row>
    <row r="91">
      <c r="A91" s="6" t="inlineStr">
        <is>
          <t>CP-RF-25-03</t>
        </is>
      </c>
      <c r="B91" s="6" t="inlineStr">
        <is>
          <t>RF-25</t>
        </is>
      </c>
      <c r="C91" s="6" t="inlineStr">
        <is>
          <t>Caja negra</t>
        </is>
      </c>
      <c r="D91" s="6" t="inlineStr">
        <is>
          <t>Unidad distinta de la unidad comercial del cultivo</t>
        </is>
      </c>
      <c r="E91" s="6" t="inlineStr">
        <is>
          <t>Se rechaza o se corrige a la unidad del cultivo</t>
        </is>
      </c>
      <c r="F91" s="6" t="inlineStr">
        <is>
          <t>Aprobado</t>
        </is>
      </c>
      <c r="G91" s="6" t="inlineStr">
        <is>
          <t>Ingreso enviado con unidad «kg»: el servidor ignora la unidad enviada y guarda la del cultivo («carga (125 kg de café pergamino seco)»)</t>
        </is>
      </c>
    </row>
    <row r="92">
      <c r="A92" s="6" t="inlineStr">
        <is>
          <t>CP-RF-25-04</t>
        </is>
      </c>
      <c r="B92" s="6" t="inlineStr">
        <is>
          <t>RF-25</t>
        </is>
      </c>
      <c r="C92" s="6" t="inlineStr">
        <is>
          <t>Valores límite</t>
        </is>
      </c>
      <c r="D92" s="6" t="inlineStr">
        <is>
          <t>Ingreso con fecha de mañana y con la fecha de hoy</t>
        </is>
      </c>
      <c r="E92" s="6" t="inlineStr">
        <is>
          <t>El de mañana se rechaza con V-47; el de hoy se acepta</t>
        </is>
      </c>
      <c r="F92" s="6" t="inlineStr">
        <is>
          <t>Aprobado</t>
        </is>
      </c>
      <c r="G92" s="6" t="inlineStr">
        <is>
          <t>Ingreso con fecha de mañana: V-47; con la de hoy: ACEPTADO</t>
        </is>
      </c>
    </row>
    <row r="93">
      <c r="A93" s="6" t="inlineStr">
        <is>
          <t>CP-RF-25-05</t>
        </is>
      </c>
      <c r="B93" s="6" t="inlineStr">
        <is>
          <t>RF-25</t>
        </is>
      </c>
      <c r="C93" s="6" t="inlineStr">
        <is>
          <t>Valores límite</t>
        </is>
      </c>
      <c r="D93" s="6" t="inlineStr">
        <is>
          <t>Ingreso de 10.000 unidades a $50.000.000 cada una</t>
        </is>
      </c>
      <c r="E93" s="6" t="inlineStr">
        <is>
          <t>Se guarda y el total de $500.000.000.000 se muestra completo, sin desbordarse</t>
        </is>
      </c>
      <c r="F93" s="6" t="inlineStr">
        <is>
          <t>Aprobado</t>
        </is>
      </c>
      <c r="G93" s="6" t="inlineStr">
        <is>
          <t>Servidor: 10.000 unidades a $50.000.000: aceptado; el servidor suma $500.000.000.000 sin desbordarse. Pantalla: ver e2e_plan.cjs | Pantalla: 10.000 × $ 50.000.000 muestra «$ 500.000.000.000» completo en la vista previa y el resumen suma $ 500.000.500.000 (los $ 500.000 anteriores más el nuevo ingreso), sin NaN ni notación científica | Dispositivo: 10.000 × $50.000.000 = $ 500.000.000.000 (número exacto, dentro de los enteros seguros de JavaScript)</t>
        </is>
      </c>
    </row>
    <row r="94">
      <c r="A94" s="6" t="inlineStr">
        <is>
          <t>CP-RF-27-01</t>
        </is>
      </c>
      <c r="B94" s="6" t="inlineStr">
        <is>
          <t>RF-27</t>
        </is>
      </c>
      <c r="C94" s="6" t="inlineStr">
        <is>
          <t>Caja negra</t>
        </is>
      </c>
      <c r="D94" s="6" t="inlineStr">
        <is>
          <t>Eliminar un gasto de $150.000 y tocar «Deshacer» a los 9 s</t>
        </is>
      </c>
      <c r="E94" s="6" t="inlineStr">
        <is>
          <t>El gasto vuelve y los saldos se restauran</t>
        </is>
      </c>
      <c r="F94" s="6" t="inlineStr">
        <is>
          <t>Aprobado</t>
        </is>
      </c>
      <c r="G94" s="6" t="inlineStr">
        <is>
          <t>Gasto de $ 150.000 eliminado y «Deshacer» a los 9 s: el gasto vuelve a la lista y los saldos quedan como antes</t>
        </is>
      </c>
    </row>
    <row r="95">
      <c r="A95" s="6" t="inlineStr">
        <is>
          <t>CP-RF-27-02</t>
        </is>
      </c>
      <c r="B95" s="6" t="inlineStr">
        <is>
          <t>RF-27</t>
        </is>
      </c>
      <c r="C95" s="6" t="inlineStr">
        <is>
          <t>Valores límite</t>
        </is>
      </c>
      <c r="D95" s="6" t="inlineStr">
        <is>
          <t>Tocar «Deshacer» a los 10 s y a los 11 s</t>
        </is>
      </c>
      <c r="E95" s="6" t="inlineStr">
        <is>
          <t>A los 10 s funciona; a los 11 s ya no</t>
        </is>
      </c>
      <c r="F95" s="6" t="inlineStr">
        <is>
          <t>Aprobado</t>
        </is>
      </c>
      <c r="G95" s="6" t="inlineStr">
        <is>
          <t>«Deshacer» a los 10 s: funciona (el gasto vuelve); a los 11 s: aparece «Ya no se puede deshacer.» y el gasto sigue eliminado</t>
        </is>
      </c>
    </row>
    <row r="96">
      <c r="A96" s="6" t="inlineStr">
        <is>
          <t>CP-RF-27-03</t>
        </is>
      </c>
      <c r="B96" s="6" t="inlineStr">
        <is>
          <t>RF-27</t>
        </is>
      </c>
      <c r="C96" s="6" t="inlineStr">
        <is>
          <t>Caja negra</t>
        </is>
      </c>
      <c r="D96" s="6" t="inlineStr">
        <is>
          <t>Editar un jornal de 2 a 3 jornales</t>
        </is>
      </c>
      <c r="E96" s="6" t="inlineStr">
        <is>
          <t>Se recalcula el costo y la utilidad</t>
        </is>
      </c>
      <c r="F96" s="6" t="inlineStr">
        <is>
          <t>Aprobado</t>
        </is>
      </c>
      <c r="G96" s="6" t="inlineStr">
        <is>
          <t>Servidor: Jornal de 2 a 3 jornales de $50.000: el costo pasa de $100.000 a $150.000 y la utilidad queda en $-150.000 | Pantalla: jornal de 2 a 3 jornales ($ 25.000 diarios): aviso «Los saldos se recalcularon» y la utilidad pasa de $ 350.000 a $ 325.000</t>
        </is>
      </c>
    </row>
    <row r="97">
      <c r="A97" s="6" t="inlineStr">
        <is>
          <t>CP-RF-28-01</t>
        </is>
      </c>
      <c r="B97" s="6" t="inlineStr">
        <is>
          <t>RF-28</t>
        </is>
      </c>
      <c r="C97" s="6" t="inlineStr">
        <is>
          <t>Caso oráculo</t>
        </is>
      </c>
      <c r="D97" s="6" t="inlineStr">
        <is>
          <t>Ingresos 1.000.000 y gastos 600.000</t>
        </is>
      </c>
      <c r="E97" s="6" t="inlineStr">
        <is>
          <t>Utilidad 400.000; rentabilidad 66,67 %</t>
        </is>
      </c>
      <c r="F97" s="6" t="inlineStr">
        <is>
          <t>Aprobado</t>
        </is>
      </c>
      <c r="G97" s="6" t="inlineStr">
        <is>
          <t>Servidor: Ingresos 1.000.000 y gastos 600.000: utilidad 400.000; rentabilidad 66,7 % (66,67 % redondeado a 1 decimal) | Dispositivo: utilidad 400.000; rentabilidad 66.7 %</t>
        </is>
      </c>
    </row>
    <row r="98">
      <c r="A98" s="6" t="inlineStr">
        <is>
          <t>CP-RF-28-02</t>
        </is>
      </c>
      <c r="B98" s="6" t="inlineStr">
        <is>
          <t>RF-28</t>
        </is>
      </c>
      <c r="C98" s="6" t="inlineStr">
        <is>
          <t>Caso oráculo</t>
        </is>
      </c>
      <c r="D98" s="6" t="inlineStr">
        <is>
          <t>Gasto 150.000 e ingreso 500.000</t>
        </is>
      </c>
      <c r="E98" s="6" t="inlineStr">
        <is>
          <t>Utilidad 350.000; rentabilidad 233,3 %</t>
        </is>
      </c>
      <c r="F98" s="6" t="inlineStr">
        <is>
          <t>Aprobado</t>
        </is>
      </c>
      <c r="G98" s="6" t="inlineStr">
        <is>
          <t>Servidor: Gasto 150.000 e ingreso 500.000: utilidad 350.000; rentabilidad 233,3 % | Dispositivo: utilidad 350.000; rentabilidad 233.3 %</t>
        </is>
      </c>
    </row>
    <row r="99">
      <c r="A99" s="6" t="inlineStr">
        <is>
          <t>CP-RF-28-03</t>
        </is>
      </c>
      <c r="B99" s="6" t="inlineStr">
        <is>
          <t>RF-28</t>
        </is>
      </c>
      <c r="C99" s="6" t="inlineStr">
        <is>
          <t>Valores límite</t>
        </is>
      </c>
      <c r="D99" s="6" t="inlineStr">
        <is>
          <t>Gastos = 0</t>
        </is>
      </c>
      <c r="E99" s="6" t="inlineStr">
        <is>
          <t>Rentabilidad 0,0 % sin error</t>
        </is>
      </c>
      <c r="F99" s="6" t="inlineStr">
        <is>
          <t>Aprobado</t>
        </is>
      </c>
      <c r="G99" s="6" t="inlineStr">
        <is>
          <t>Servidor: Gastos = 0: rentabilidad 0,0 % sin error de división (utilidad 500.000) | Dispositivo: gastos = 0 → rentabilidad 0 % sin error</t>
        </is>
      </c>
    </row>
    <row r="100">
      <c r="A100" s="6" t="inlineStr">
        <is>
          <t>CP-RF-28-04</t>
        </is>
      </c>
      <c r="B100" s="6" t="inlineStr">
        <is>
          <t>RF-28</t>
        </is>
      </c>
      <c r="C100" s="6" t="inlineStr">
        <is>
          <t>Caja negra</t>
        </is>
      </c>
      <c r="D100" s="6" t="inlineStr">
        <is>
          <t>Gastos mayores que ingresos</t>
        </is>
      </c>
      <c r="E100" s="6" t="inlineStr">
        <is>
          <t>Utilidad en rojo con la palabra «Pérdida»</t>
        </is>
      </c>
      <c r="F100" s="6" t="inlineStr">
        <is>
          <t>Aprobado</t>
        </is>
      </c>
      <c r="G100" s="6" t="inlineStr">
        <is>
          <t>Gastos mayores que ingresos: la pantalla muestra «Pérdida» con la cifra en rojo (rgb(163, 34, 26)); no depende solo del color porque lleva la palabra</t>
        </is>
      </c>
    </row>
    <row r="101">
      <c r="A101" s="6" t="inlineStr">
        <is>
          <t>CP-RF-28-05</t>
        </is>
      </c>
      <c r="B101" s="6" t="inlineStr">
        <is>
          <t>RF-28</t>
        </is>
      </c>
      <c r="C101" s="6" t="inlineStr">
        <is>
          <t>Caso oráculo</t>
        </is>
      </c>
      <c r="D101" s="6" t="inlineStr">
        <is>
          <t>R-01 del ciclo C-01 de los datos de prueba: gasto de $100.000, 2 jornales de $25.000 e ingreso de 4 cargas a $125.000, ciclo de 0,9 ha</t>
        </is>
      </c>
      <c r="E101" s="6" t="inlineStr">
        <is>
          <t>Costos $150.000; ingresos $500.000; utilidad $350.000; rentabilidad 233,3 %; utilidad por hectárea $388.889; total de matas 4.000</t>
        </is>
      </c>
      <c r="F101" s="6" t="inlineStr">
        <is>
          <t>Aprobado</t>
        </is>
      </c>
      <c r="G101" s="6" t="inlineStr">
        <is>
          <t>R-01: costos 150.000, ingresos 500.000, utilidad 350.000, rentabilidad 233,3 %, por hectárea 388.889, matas 4.000</t>
        </is>
      </c>
    </row>
    <row r="102">
      <c r="A102" s="6" t="inlineStr">
        <is>
          <t>CP-RF-28-06</t>
        </is>
      </c>
      <c r="B102" s="6" t="inlineStr">
        <is>
          <t>RF-28</t>
        </is>
      </c>
      <c r="C102" s="6" t="inlineStr">
        <is>
          <t>Tabla de decisión</t>
        </is>
      </c>
      <c r="D102" s="6" t="inlineStr">
        <is>
          <t>R-01 de un ciclo propio, de un ciclo de otro usuario y de un ciclo que no existe</t>
        </is>
      </c>
      <c r="E102" s="6" t="inlineStr">
        <is>
          <t>200, 403 E-02 y 404 E-07</t>
        </is>
      </c>
      <c r="F102" s="6" t="inlineStr">
        <is>
          <t>Aprobado</t>
        </is>
      </c>
      <c r="G102" s="6" t="inlineStr">
        <is>
          <t>R-01 de un ciclo propio: 200; de otro usuario: 403 E-02; inexistente: 404 E-07</t>
        </is>
      </c>
    </row>
    <row r="103">
      <c r="A103" s="6" t="inlineStr">
        <is>
          <t>CP-RF-28-07</t>
        </is>
      </c>
      <c r="B103" s="6" t="inlineStr">
        <is>
          <t>RF-28</t>
        </is>
      </c>
      <c r="C103" s="6" t="inlineStr">
        <is>
          <t>Particiones de equivalencia</t>
        </is>
      </c>
      <c r="D103" s="6" t="inlineStr">
        <is>
          <t>R-01 de un ciclo sin gastos ni jornales y de un ciclo sin ningún registro</t>
        </is>
      </c>
      <c r="E103" s="6" t="inlineStr">
        <is>
          <t>rentabilidad_pct es 0,0 en ambos, sin error de división por cero, y las demás cifras son 0 o corresponden solo a los ingresos</t>
        </is>
      </c>
      <c r="F103" s="6" t="inlineStr">
        <is>
          <t>Aprobado</t>
        </is>
      </c>
      <c r="G103" s="6" t="inlineStr">
        <is>
          <t>Ciclo sin registros: rentabilidad 0,0 y todo en 0. Ciclo solo con ingreso de $500.000: rentabilidad 0,0, utilidad $500.000. Sin errores de división</t>
        </is>
      </c>
    </row>
    <row r="104">
      <c r="A104" s="6" t="inlineStr">
        <is>
          <t>CP-RF-28-08</t>
        </is>
      </c>
      <c r="B104" s="6" t="inlineStr">
        <is>
          <t>RF-28</t>
        </is>
      </c>
      <c r="C104" s="6" t="inlineStr">
        <is>
          <t>Caso oráculo</t>
        </is>
      </c>
      <c r="D104" s="6" t="inlineStr">
        <is>
          <t>Ciclo con café cuadrado 1,5 m y 0,9 ha efectivas (4.000 matas): costos aproximados de la ficha técnica</t>
        </is>
      </c>
      <c r="E104" s="6" t="inlineStr">
        <is>
          <t>Siembra inicial $1.600.000; insumos de un año $3.320.000; 28 jornales al año; la pantalla avisa que son orientativos</t>
        </is>
      </c>
      <c r="F104" s="6" t="inlineStr">
        <is>
          <t>Aprobado</t>
        </is>
      </c>
      <c r="G104" s="6" t="inlineStr">
        <is>
          <t>Servidor: Ficha del café con 4.000 matas: siembra inicial $1.600.000, insumos de un año $3.320.000, 28 jornales al año. El aviso «orientativo» se comprueba en la pantalla | Pantalla: «Costos aproximados (ficha técnica)» con siembra $ 1.600.000, insumos $ 3.320.000, 28 jornales y el aviso «Son valores orientativos de la ficha técnica, no un presupuesto.» | Dispositivo: café con 4.000 matas → siembra 1.600.000, insumos 3.320.000, 28 jornales al año</t>
        </is>
      </c>
    </row>
    <row r="105">
      <c r="A105" s="6" t="inlineStr">
        <is>
          <t>CP-RF-35-01</t>
        </is>
      </c>
      <c r="B105" s="6" t="inlineStr">
        <is>
          <t>RF-35</t>
        </is>
      </c>
      <c r="C105" s="6" t="inlineStr">
        <is>
          <t>Caja negra</t>
        </is>
      </c>
      <c r="D105" s="6" t="inlineStr">
        <is>
          <t>Modo avión → registrar gasto → cerrar pestaña → reabrir</t>
        </is>
      </c>
      <c r="E105" s="6" t="inlineStr">
        <is>
          <t>El gasto sigue guardado (0 % de pérdida)</t>
        </is>
      </c>
      <c r="F105" s="6" t="inlineStr">
        <is>
          <t>Aprobado</t>
        </is>
      </c>
      <c r="G105" s="6" t="inlineStr">
        <is>
          <t>Modo avión → gasto → cierre de la pestaña → reapertura sin internet: el gasto sigue guardado (0 % de pérdida); al volver internet llega 1 sola vez al servidor</t>
        </is>
      </c>
    </row>
    <row r="106">
      <c r="A106" s="6" t="inlineStr">
        <is>
          <t>CP-RF-35-02</t>
        </is>
      </c>
      <c r="B106" s="6" t="inlineStr">
        <is>
          <t>RF-35</t>
        </is>
      </c>
      <c r="C106" s="6" t="inlineStr">
        <is>
          <t>Caja negra</t>
        </is>
      </c>
      <c r="D106" s="6" t="inlineStr">
        <is>
          <t>Usar catálogo, finca, ciclo y registros sin conexión</t>
        </is>
      </c>
      <c r="E106" s="6" t="inlineStr">
        <is>
          <t>Todo funciona sin internet</t>
        </is>
      </c>
      <c r="F106" s="6" t="inlineStr">
        <is>
          <t>Aprobado</t>
        </is>
      </c>
      <c r="G106" s="6" t="inlineStr">
        <is>
          <t>Sin internet funcionaron el catálogo, la finca, el ciclo, el gasto, el jornal y el ingreso (utilidad $ 350.000, 6 registros pendientes). Al volver la conexión se enviaron los 6: el servidor tiene ciclo,ciclo_cultivo,finca,gasto,ingreso,jornal</t>
        </is>
      </c>
    </row>
    <row r="107">
      <c r="A107" s="6" t="inlineStr">
        <is>
          <t>CP-RF-36-01</t>
        </is>
      </c>
      <c r="B107" s="6" t="inlineStr">
        <is>
          <t>RF-36</t>
        </is>
      </c>
      <c r="C107" s="6" t="inlineStr">
        <is>
          <t>Caja negra</t>
        </is>
      </c>
      <c r="D107" s="6" t="inlineStr">
        <is>
          <t>Volver la conexión con 3 registros PENDIENTES</t>
        </is>
      </c>
      <c r="E107" s="6" t="inlineStr">
        <is>
          <t>Se envían solos y pasan a SINCRONIZADO</t>
        </is>
      </c>
      <c r="F107" s="6" t="inlineStr">
        <is>
          <t>Aprobado</t>
        </is>
      </c>
      <c r="G107" s="6" t="inlineStr">
        <is>
          <t>Con 6 registros PENDIENTES al volver la conexión: se enviaron solos, el indicador quedó sin pendientes (SINCRONIZADO) y el servidor los tiene (ciclo,ciclo_cultivo,finca,gasto,ingreso,jornal)</t>
        </is>
      </c>
    </row>
    <row r="108">
      <c r="A108" s="6" t="inlineStr">
        <is>
          <t>CP-RF-36-02</t>
        </is>
      </c>
      <c r="B108" s="6" t="inlineStr">
        <is>
          <t>RF-36</t>
        </is>
      </c>
      <c r="C108" s="6" t="inlineStr">
        <is>
          <t>Caja negra</t>
        </is>
      </c>
      <c r="D108" s="6" t="inlineStr">
        <is>
          <t>Cortar la red a mitad del envío y reconectar</t>
        </is>
      </c>
      <c r="E108" s="6" t="inlineStr">
        <is>
          <t>Sin registros duplicados (mismo uuid) ni perdidos</t>
        </is>
      </c>
      <c r="F108" s="6" t="inlineStr">
        <is>
          <t>Aprobado</t>
        </is>
      </c>
      <c r="G108" s="6" t="inlineStr">
        <is>
          <t>El mismo registro (mismo uuid) enviado 2 veces: la 1.ª ACEPTADO; la 2.ª ACTUALIZADO_POR_SERVIDOR (ya lo tenía, el dispositivo adopta la copia del servidor) y solo 1 fila en el servidor (sin duplicados)</t>
        </is>
      </c>
    </row>
    <row r="109">
      <c r="A109" s="6" t="inlineStr">
        <is>
          <t>CP-RF-36-03</t>
        </is>
      </c>
      <c r="B109" s="6" t="inlineStr">
        <is>
          <t>RF-36</t>
        </is>
      </c>
      <c r="C109" s="6" t="inlineStr">
        <is>
          <t>Caja negra</t>
        </is>
      </c>
      <c r="D109" s="6" t="inlineStr">
        <is>
          <t>El mismo registro editado en dos dispositivos</t>
        </is>
      </c>
      <c r="E109" s="6" t="inlineStr">
        <is>
          <t>Gana el registro con updated_at más reciente</t>
        </is>
      </c>
      <c r="F109" s="6" t="inlineStr">
        <is>
          <t>Aprobado</t>
        </is>
      </c>
      <c r="G109" s="6" t="inlineStr">
        <is>
          <t>Dispositivo A (T1) $100.000; B con T0 (más viejo): ACTUALIZADO_POR_SERVIDOR; B con T2 (más reciente): ACEPTADO. Queda $200.000, el de updated_at más reciente</t>
        </is>
      </c>
    </row>
    <row r="110">
      <c r="A110" s="6" t="inlineStr">
        <is>
          <t>CP-RF-36-04</t>
        </is>
      </c>
      <c r="B110" s="6" t="inlineStr">
        <is>
          <t>RF-36</t>
        </is>
      </c>
      <c r="C110" s="6" t="inlineStr">
        <is>
          <t>Caja negra</t>
        </is>
      </c>
      <c r="D110" s="6" t="inlineStr">
        <is>
          <t>Enviar con S-01 un gasto con fecha de mañana y un ciclo con distancia de 11 m, junto con registros válidos</t>
        </is>
      </c>
      <c r="E110" s="6" t="inlineStr">
        <is>
          <t>Los dos inválidos se rechazan con V-47 y V-33; los válidos se aceptan</t>
        </is>
      </c>
      <c r="F110" s="6" t="inlineStr">
        <is>
          <t>Aprobado</t>
        </is>
      </c>
      <c r="G110" s="6" t="inlineStr">
        <is>
          <t>Lote mixto: gasto con fecha de mañana → V-47; cultivo a 11 m → V-33; gasto y venta válidos → ACEPTADO (se aplica cada registro por separado)</t>
        </is>
      </c>
    </row>
    <row r="111">
      <c r="A111" s="6" t="inlineStr">
        <is>
          <t>CP-RF-36-05</t>
        </is>
      </c>
      <c r="B111" s="6" t="inlineStr">
        <is>
          <t>RF-36</t>
        </is>
      </c>
      <c r="C111" s="6" t="inlineStr">
        <is>
          <t>Tabla de decisión</t>
        </is>
      </c>
      <c r="D111" s="6" t="inlineStr">
        <is>
          <t>S-01 con eliminado = true para un registro de tipo finca, ciclo, ciclo_cultivo y gasto</t>
        </is>
      </c>
      <c r="E111" s="6" t="inlineStr">
        <is>
          <t>Finca, ciclo y cultivo del ciclo: RECHAZADO con E-11 y quedan como estaban; el gasto se acepta y queda con eliminado = 1</t>
        </is>
      </c>
      <c r="F111" s="6" t="inlineStr">
        <is>
          <t>Aprobado</t>
        </is>
      </c>
      <c r="G111" s="6" t="inlineStr">
        <is>
          <t>eliminado = true: finca, ciclo y cultivo del ciclo → RECHAZADO E-11 (quedan como estaban); gasto → ACEPTADO y queda con eliminado</t>
        </is>
      </c>
    </row>
    <row r="112">
      <c r="A112" s="6" t="inlineStr">
        <is>
          <t>CP-RF-37-01</t>
        </is>
      </c>
      <c r="B112" s="6" t="inlineStr">
        <is>
          <t>RF-37</t>
        </is>
      </c>
      <c r="C112" s="6" t="inlineStr">
        <is>
          <t>Caja negra</t>
        </is>
      </c>
      <c r="D112" s="6" t="inlineStr">
        <is>
          <t>Instalar en un servidor nuevo y abrir la app</t>
        </is>
      </c>
      <c r="E112" s="6" t="inlineStr">
        <is>
          <t>Los 3 cultivos y sus fichas técnicas aparecen en la base de datos y en el dispositivo</t>
        </is>
      </c>
      <c r="F112" s="6" t="inlineStr">
        <is>
          <t>Aprobado</t>
        </is>
      </c>
      <c r="G112" s="6" t="inlineStr">
        <is>
          <t>Servidor: Base recién creada con la semilla: 3 cultivos (CAFE, PLATANO, YUCA), cada uno con su ficha técnica, y C-01 los entrega. Sincronización con el dispositivo: ver e2e_plan.cjs | Pantalla: el catálogo muestra Café, Plátano y Yuca sin que el usuario haga nada (almacenes locales: catalogo, meta, registros, sesion)</t>
        </is>
      </c>
    </row>
    <row r="113">
      <c r="A113" s="6" t="inlineStr">
        <is>
          <t>CP-RF-37-02</t>
        </is>
      </c>
      <c r="B113" s="6" t="inlineStr">
        <is>
          <t>RF-37</t>
        </is>
      </c>
      <c r="C113" s="6" t="inlineStr">
        <is>
          <t>Caja negra</t>
        </is>
      </c>
      <c r="D113" s="6" t="inlineStr">
        <is>
          <t>Cargar los datos semilla dos veces</t>
        </is>
      </c>
      <c r="E113" s="6" t="inlineStr">
        <is>
          <t>No se duplican los cultivos</t>
        </is>
      </c>
      <c r="F113" s="6" t="inlineStr">
        <is>
          <t>Aprobado</t>
        </is>
      </c>
      <c r="G113" s="6" t="inlineStr">
        <is>
          <t>Semilla cargada de nuevo 2 veces: cultivos 3 → 3; no se duplican</t>
        </is>
      </c>
    </row>
    <row r="114">
      <c r="A114" s="6" t="inlineStr">
        <is>
          <t>CP-RF-37-03</t>
        </is>
      </c>
      <c r="B114" s="6" t="inlineStr">
        <is>
          <t>RF-37</t>
        </is>
      </c>
      <c r="C114" s="6" t="inlineStr">
        <is>
          <t>Caja negra</t>
        </is>
      </c>
      <c r="D114" s="6" t="inlineStr">
        <is>
          <t>AD-04: actualizar el café con distancia_min_m 1,2 y distancia_max_m 2,2 y consultar C-01 con una fecha anterior</t>
        </is>
      </c>
      <c r="E114" s="6" t="inlineStr">
        <is>
          <t>200; C-01 devuelve el café con los valores nuevos</t>
        </is>
      </c>
      <c r="F114" s="6" t="inlineStr">
        <is>
          <t>Aprobado</t>
        </is>
      </c>
      <c r="G114" s="6" t="inlineStr">
        <is>
          <t>AD-04: 200; C-01 con fecha anterior devuelve solo el café con distancia 1.2–2.2 m</t>
        </is>
      </c>
    </row>
    <row r="115">
      <c r="A115" s="6" t="inlineStr">
        <is>
          <t>CP-RF-37-04</t>
        </is>
      </c>
      <c r="B115" s="6" t="inlineStr">
        <is>
          <t>RF-37</t>
        </is>
      </c>
      <c r="C115" s="6" t="inlineStr">
        <is>
          <t>Valores límite</t>
        </is>
      </c>
      <c r="D115" s="6" t="inlineStr">
        <is>
          <t>AD-04 con distancia_min_m 0 / mínimo 2,5 con máximo 2,0 / marcos ['hexagonal'] / código 'ARROZ'</t>
        </is>
      </c>
      <c r="E115" s="6" t="inlineStr">
        <is>
          <t>Los tres primeros se rechazan con E-08 y sus campos; el código desconocido da 404 E-07</t>
        </is>
      </c>
      <c r="F115" s="6" t="inlineStr">
        <is>
          <t>Aprobado</t>
        </is>
      </c>
      <c r="G115" s="6" t="inlineStr">
        <is>
          <t>AD-04 inválido: distancia_min_m 0 → E-08 en distancia_min_m; mínimo 2,5 con máximo 2,0 → E-08 en distancia_max_m; marcos ['hexagonal'] → E-08 en marcos_permitidos; código «ARROZ» → 404 E-07</t>
        </is>
      </c>
    </row>
    <row r="116">
      <c r="A116" s="6" t="inlineStr">
        <is>
          <t>CP-RF-37-05</t>
        </is>
      </c>
      <c r="B116" s="6" t="inlineStr">
        <is>
          <t>RF-37</t>
        </is>
      </c>
      <c r="C116" s="6" t="inlineStr">
        <is>
          <t>Caja negra</t>
        </is>
      </c>
      <c r="D116" s="6" t="inlineStr">
        <is>
          <t>Intentar con SQL directo borrar un cultivo que tiene ciclos y otro que no tiene</t>
        </is>
      </c>
      <c r="E116" s="6" t="inlineStr">
        <is>
          <t>La base rechaza el primero (error de llave foránea, RESTRICT) y el catálogo queda intacto; el segundo solo se borra en la base de pruebas</t>
        </is>
      </c>
      <c r="F116" s="6" t="inlineStr">
        <is>
          <t>Aprobado</t>
        </is>
      </c>
      <c r="G116" s="6" t="inlineStr">
        <is>
          <t>Borrar el café (tiene ciclos): la base lo rechaza (llave foránea RESTRICT) y quedan 3 cultivos. Borrar la yuca (sin ciclos), solo en la base de pruebas: queda 2</t>
        </is>
      </c>
    </row>
    <row r="117">
      <c r="A117" s="6" t="inlineStr">
        <is>
          <t>CP-RNF-01</t>
        </is>
      </c>
      <c r="B117" s="6" t="inlineStr">
        <is>
          <t>RNF-01</t>
        </is>
      </c>
      <c r="C117" s="6" t="inlineStr">
        <is>
          <t>Rendimiento</t>
        </is>
      </c>
      <c r="D117" s="6" t="inlineStr">
        <is>
          <t>Medir con performance.now() 20 cálculos en un equipo de 2 GB de RAM: 95 % ≤ 2,0 s</t>
        </is>
      </c>
      <c r="E117" s="6" t="inlineStr">
        <is>
          <t>Tiempo de ejecución ≤ 2,0 s en el 95 % de las pruebas locales.</t>
        </is>
      </c>
      <c r="F117" s="6" t="inlineStr">
        <is>
          <t>Pendiente</t>
        </is>
      </c>
      <c r="G117" s="6" t="inlineStr">
        <is>
          <t>20 cálculos de matas por hectárea medidos con performance.now() y el procesador 4 veces más lento: p95 = 4 ms, máximo = 5 ms (meta ≤ 2.000 ms). Medido en el entorno de desarrollo (Chromium sin pantalla), no en un teléfono de 2 GB de RAM | Pendiente: Medido en el entorno de desarrollo (Chromium sin pantalla, procesador 4 veces más lento): ver e2e_plan.cjs. Falta repetirlo en el equipo de 2 GB de RAM que exige el plan.</t>
        </is>
      </c>
    </row>
    <row r="118">
      <c r="A118" s="6" t="inlineStr">
        <is>
          <t>CP-RNF-05</t>
        </is>
      </c>
      <c r="B118" s="6" t="inlineStr">
        <is>
          <t>RNF-05</t>
        </is>
      </c>
      <c r="C118" s="6" t="inlineStr">
        <is>
          <t>Usabilidad</t>
        </is>
      </c>
      <c r="D118" s="6" t="inlineStr">
        <is>
          <t>5 agricultores registran un gasto y calculan matas sin ayuda: ≥ 90 % de éxito en ≤ 3 pantallas y &lt; 2 min</t>
        </is>
      </c>
      <c r="E118" s="6" t="inlineStr">
        <is>
          <t>Tasa de éxito ≥ 90 % en pruebas de usabilidad con productores rurales.</t>
        </is>
      </c>
      <c r="F118" s="6" t="inlineStr">
        <is>
          <t>Pendiente</t>
        </is>
      </c>
      <c r="G118" s="6" t="inlineStr">
        <is>
          <t>Requiere a 5 agricultores reales haciendo las tareas sin ayuda (cronómetro y observación). No se puede automatizar.</t>
        </is>
      </c>
    </row>
    <row r="119">
      <c r="A119" s="6" t="inlineStr">
        <is>
          <t>CP-RNF-07</t>
        </is>
      </c>
      <c r="B119" s="6" t="inlineStr">
        <is>
          <t>RNF-07</t>
        </is>
      </c>
      <c r="C119" s="6" t="inlineStr">
        <is>
          <t>Accesibilidad</t>
        </is>
      </c>
      <c r="D119" s="6" t="inlineStr">
        <is>
          <t>Lighthouse (herramienta de Chrome) y revisión manual: texto ≥ 18 px, botones ≥ 48 × 48 px, contraste ≥ 4,5:1</t>
        </is>
      </c>
      <c r="E119" s="6" t="inlineStr">
        <is>
          <t>Cumplimiento de WCAG 2.1 AA en todas las pantallas.</t>
        </is>
      </c>
      <c r="F119" s="6" t="inlineStr">
        <is>
          <t>Pendiente</t>
        </is>
      </c>
      <c r="G119" s="6" t="inlineStr">
        <is>
          <t>Medición automática en 7 pantallas (112 textos, 59 botones/campos): texto menor de 18 px: 29 (button.pill «● En línea» 16px; button.pill «Cuenta» 16px; span.badge sem-verde «Verde» 16px; button. «Inicio» 16px); texto menor de 16 px: 0; controles menores de 48 × 48 px: 0; contraste bajo (&lt; 4,5:1): 0. Lighthouse y la revisión manual con WCAG 2.1 AA no se ejecutaron | Pendiente: La medición automática en 7 pantallas pasa (ver e2e_plan.cjs). Faltan Lighthouse (Chrome) y la revisión manual de WCAG 2.1 AA con personas. Quedan etiquetas de navegación, indicadores y marcos de 16 px (el resto del texto es de 18 px).</t>
        </is>
      </c>
    </row>
    <row r="120">
      <c r="A120" s="6" t="inlineStr">
        <is>
          <t>CP-RNF-09</t>
        </is>
      </c>
      <c r="B120" s="6" t="inlineStr">
        <is>
          <t>RNF-09</t>
        </is>
      </c>
      <c r="C120" s="6" t="inlineStr">
        <is>
          <t>Seguridad</t>
        </is>
      </c>
      <c r="D120" s="6" t="inlineStr">
        <is>
          <t>Enviar '&lt;script&gt;alert(1)&lt;/script&gt;' y "' OR 1=1 --" en cada campo de texto: se rechazan o se muestran como texto; OWASP ZAP sin alertas altas</t>
        </is>
      </c>
      <c r="E120" s="6" t="inlineStr">
        <is>
          <t>100% de los formularios protegidos con Trim(), lista blanca Regex, anti-monotonía, debouncing y validación estricta cliente/servidor.</t>
        </is>
      </c>
      <c r="F120" s="6" t="inlineStr">
        <is>
          <t>Pendiente</t>
        </is>
      </c>
      <c r="G120" s="6" t="inlineStr">
        <is>
          <t>Servidor: Nombre de usuario, finca y lote con «&lt;script&gt;…» y «' OR 1=1 --»: rechazados. Observaciones del gasto (texto libre): «&lt;script&gt;alert(1)&lt;/script&gt;» → RECHAZADO; «' OR 1=1 --» → RECHAZADO. La pantalla muestra todo como texto (esc) — ver e2e_plan.cjs. OWASP ZAP: no se ejecutó | Pantalla: Nombre «&lt;script&gt;alert(1)&lt;/script&gt;» rechazado con V-01; observaciones del gasto con &lt;img onerror&gt; y &lt;script&gt;: rechazadas (V-38); 0 diálogos de alerta y 0 elementos inyectados en la pantalla. OWASP ZAP: no se ejecutó | Pendiente: Inyección de «&lt;script&gt;», «&lt;img onerror&gt;» y «' OR 1=1 --» probada en formularios y servidor (ver pruebas). Falta ejecutar OWASP ZAP contra el servidor publicado.</t>
        </is>
      </c>
    </row>
    <row r="121">
      <c r="A121" s="6" t="inlineStr">
        <is>
          <t>CP-RNF-10</t>
        </is>
      </c>
      <c r="B121" s="6" t="inlineStr">
        <is>
          <t>RNF-10</t>
        </is>
      </c>
      <c r="C121" s="6" t="inlineStr">
        <is>
          <t>Disponibilidad</t>
        </is>
      </c>
      <c r="D121" s="6" t="inlineStr">
        <is>
          <t>Con modo avión, las funciones del cliente funcionan al 100 %; registrar la disponibilidad mensual del servidor (meta 99,0 %)</t>
        </is>
      </c>
      <c r="E121" s="6" t="inlineStr">
        <is>
          <t>100 % de funciones locales disponibles sin conexión; inactividad del servidor ≤ 7,2 horas al mes (SLA 99,0 %).</t>
        </is>
      </c>
      <c r="F121" s="6" t="inlineStr">
        <is>
          <t>Pendiente</t>
        </is>
      </c>
      <c r="G121" s="6" t="inlineStr">
        <is>
          <t>Parte del dispositivo: con modo avión y la app recargada funcionaron 6 de 6 funciones locales probadas (catálogo, calculadora, gasto, jornal, fincas, finanzas). Parte del servidor (inactividad mensual ≤ 7,2 h): requiere medir un mes de operación con el servidor publicado | Pendiente: La parte del dispositivo pasa (6 de 6 funciones sin conexión). Falta medir la disponibilidad mensual del servidor publicado (meta 99,0 %).</t>
        </is>
      </c>
    </row>
    <row r="122">
      <c r="A122" s="6" t="inlineStr">
        <is>
          <t>CP-RNF-11</t>
        </is>
      </c>
      <c r="B122" s="6" t="inlineStr">
        <is>
          <t>RNF-11</t>
        </is>
      </c>
      <c r="C122" s="6" t="inlineStr">
        <is>
          <t>Fiabilidad</t>
        </is>
      </c>
      <c r="D122" s="6" t="inlineStr">
        <is>
          <t>Cerrar el navegador de forma abrupta y cortar la red durante el envío: 0 registros perdidos, duplicados o corruptos</t>
        </is>
      </c>
      <c r="E122" s="6" t="inlineStr">
        <is>
          <t>0 % de pérdida de registros locales confirmados; 0 % de registros duplicados o corruptos tras una interrupción de red.</t>
        </is>
      </c>
      <c r="F122" s="6" t="inlineStr">
        <is>
          <t>Aprobado</t>
        </is>
      </c>
      <c r="G122" s="6" t="inlineStr">
        <is>
          <t>Envío cortado antes de llegar (1 pendiente), respuesta perdida tras llegar (1 pendiente) y cierre brusco del navegador (al reabrir había 0 pendiente y el envío automático terminó): 0 registros perdidos y 1 solo gasto de $ 21.000 en el servidor (0 duplicados)</t>
        </is>
      </c>
    </row>
    <row r="123">
      <c r="A123" s="6" t="inlineStr">
        <is>
          <t>CP-RNF-14</t>
        </is>
      </c>
      <c r="B123" s="6" t="inlineStr">
        <is>
          <t>RNF-14</t>
        </is>
      </c>
      <c r="C123" s="6" t="inlineStr">
        <is>
          <t>Seguridad</t>
        </is>
      </c>
      <c r="D123" s="6" t="inlineStr">
        <is>
          <t>Revisar con SSL Labs (prueba de HTTPS) que solo se acepta TLS 1.2+; revisar que todas las consultas usan el ORM</t>
        </is>
      </c>
      <c r="E123" s="6" t="inlineStr">
        <is>
          <t>0% de vulnerabilidades SQLi/XSS y 100% de tráfico cifrado bajo HTTPS/TLS 1.2+.</t>
        </is>
      </c>
      <c r="F123" s="6" t="inlineStr">
        <is>
          <t>Pendiente</t>
        </is>
      </c>
      <c r="G123" s="6" t="inlineStr">
        <is>
          <t>Revisión de consultas hecha: todo el acceso a datos usa el ORM (SQLAlchemy); solo hay dos sentencias fijas sin datos del usuario (PRAGMA y SELECT 1) y las cabeceras HSTS y CSP están activas. Falta SSL Labs, que solo funciona contra el sitio publicado con HTTPS.</t>
        </is>
      </c>
    </row>
    <row r="124">
      <c r="A124" s="6" t="inlineStr">
        <is>
          <t>CP-RNF-15</t>
        </is>
      </c>
      <c r="B124" s="6" t="inlineStr">
        <is>
          <t>RNF-15</t>
        </is>
      </c>
      <c r="C124" s="6" t="inlineStr">
        <is>
          <t>Seguridad</t>
        </is>
      </c>
      <c r="D124" s="6" t="inlineStr">
        <is>
          <t>Llamar la API con token de otro usuario, y sin token, y los servicios AD con token de agricultor: 100 % de respuestas 401/403; un agricultor no ve datos de otro</t>
        </is>
      </c>
      <c r="E124" s="6" t="inlineStr">
        <is>
          <t>Bloqueo del 100 % de las peticiones no autorizadas; 0 % de datos identificables en reportes agregados.</t>
        </is>
      </c>
      <c r="F124" s="6" t="inlineStr">
        <is>
          <t>Aprobado</t>
        </is>
      </c>
      <c r="G124" s="6" t="inlineStr">
        <is>
          <t>8 de 8 peticiones no autorizadas bloqueadas (401/403). Otro agricultor descarga 0 registros ajenos y su intento de escribir en un ciclo ajeno da 403 E-02</t>
        </is>
      </c>
    </row>
    <row r="125">
      <c r="A125" s="6" t="inlineStr">
        <is>
          <t>CP-RNF-16</t>
        </is>
      </c>
      <c r="B125" s="6" t="inlineStr">
        <is>
          <t>RNF-16</t>
        </is>
      </c>
      <c r="C125" s="6" t="inlineStr">
        <is>
          <t>Seguridad</t>
        </is>
      </c>
      <c r="D125" s="6" t="inlineStr">
        <is>
          <t>Revisar la base de datos: 0 claves en texto plano; hash con bcrypt o Argon2 (algoritmos para cifrar claves)</t>
        </is>
      </c>
      <c r="E125" s="6" t="inlineStr">
        <is>
          <t>Rechazo automático en cliente y servidor del 100% de contraseñas que no cumplan la política OWASP ASVS / ISO 27001.</t>
        </is>
      </c>
      <c r="F125" s="6" t="inlineStr">
        <is>
          <t>Aprobado</t>
        </is>
      </c>
      <c r="G125" s="6" t="inlineStr">
        <is>
          <t>1 cuenta(s) en la base: 0 claves en texto plano; todas con hash Argon2id. Claves que incumplen la política → códigos [400, 429]</t>
        </is>
      </c>
    </row>
    <row r="126">
      <c r="A126" s="6" t="inlineStr">
        <is>
          <t>CP-RNF-17</t>
        </is>
      </c>
      <c r="B126" s="6" t="inlineStr">
        <is>
          <t>RNF-17</t>
        </is>
      </c>
      <c r="C126" s="6" t="inlineStr">
        <is>
          <t>Cumplimiento legal</t>
        </is>
      </c>
      <c r="D126" s="6" t="inlineStr">
        <is>
          <t>Registro sin aceptar la autorización: se rechaza; con aceptación, el consentimiento queda guardado con fecha</t>
        </is>
      </c>
      <c r="E126" s="6" t="inlineStr">
        <is>
          <t>Consentimiento registrado obligatoriamente en el proceso de creación de cuenta.</t>
        </is>
      </c>
      <c r="F126" s="6" t="inlineStr">
        <is>
          <t>Aprobado</t>
        </is>
      </c>
      <c r="G126" s="6" t="inlineStr">
        <is>
          <t>Sin autorización: 400 V-08, no se crea cuenta. Con autorización: consentimiento = True guardado con fecha 2026-10-28 06:55</t>
        </is>
      </c>
    </row>
    <row r="127">
      <c r="A127" s="6" t="inlineStr">
        <is>
          <t>CP-RNF-22</t>
        </is>
      </c>
      <c r="B127" s="6" t="inlineStr">
        <is>
          <t>RNF-22</t>
        </is>
      </c>
      <c r="C127" s="6" t="inlineStr">
        <is>
          <t>Exactitud</t>
        </is>
      </c>
      <c r="D127" s="6" t="inlineStr">
        <is>
          <t>Pruebas unitarias con los valores oráculo de RF-18, RF-24 y RF-28: error relativo ≤ 0,0001 %</t>
        </is>
      </c>
      <c r="E127" s="6" t="inlineStr">
        <is>
          <t>Error relativo ≤ 0,0001 % frente a las fórmulas teóricas.</t>
        </is>
      </c>
      <c r="F127" s="6" t="inlineStr">
        <is>
          <t>Aprobado</t>
        </is>
      </c>
      <c r="G127" s="6" t="inlineStr">
        <is>
          <t>Servidor: Peor error relativo de 7 cálculos frente a los valores oráculo del plan: 0.000094 % (meta ≤ 0,0001 %; el mayor es el del tresbolillo, porque el servidor redondea a 2 decimales). RF-18 cuadrado 1 m: 10000.0 vs 10000.0; RF-18 rectangular 2 × 1,5 m: 3333.33 vs 3333.33; RF-18 tresbolillo 3 m: 1283.0 vs 1283.0012; RF-18 café 1,5 m: 4444.44 vs 4444.44; RF-24 3 × $60.000: 180000 vs 180000; RF-28 utilidad: 350000 vs 350000; RF-28 rentabilidad: 233.3 vs 233.3 | Dispositivo: peor error relativo de 6 cálculos = 0.00e+0 % (meta ≤ 0,0001 %)</t>
        </is>
      </c>
    </row>
    <row r="128">
      <c r="A128" s="6" t="inlineStr">
        <is>
          <t>CP-RNF-25</t>
        </is>
      </c>
      <c r="B128" s="6" t="inlineStr">
        <is>
          <t>RNF-25</t>
        </is>
      </c>
      <c r="C128" s="6" t="inlineStr">
        <is>
          <t>Seguridad</t>
        </is>
      </c>
      <c r="D128" s="6" t="inlineStr">
        <is>
          <t>Forzar error 500, falla de base de datos y de red: 0 trazas técnicas visibles; mensaje claro en lenguaje sencillo</t>
        </is>
      </c>
      <c r="E128" s="6" t="inlineStr">
        <is>
          <t>0% de trazas técnicas expuestas en interfaz y 100% de mensajes de error traducidos a lenguaje claro.</t>
        </is>
      </c>
      <c r="F128" s="6" t="inlineStr">
        <is>
          <t>Aprobado</t>
        </is>
      </c>
      <c r="G128" s="6" t="inlineStr">
        <is>
          <t>Servidor: Error interno forzado: 500 con V-45 «No pudimos enviar sus datos ahora. Lo intentaremos de nuevo.» y sin trazas, rutas ni datos de la base. Ruta inexistente: 404 E-07; método no permitido: 405 E-03. Falla de red del dispositivo: ver e2e_plan.cjs | Pantalla: 500 con mensaje V-45 sin trazas (prueba test_CP_RNF_25). Pantalla: ante un error 500 se muestra solo el texto «No pudimos enviar sus datos ahora…», sin trazas ni códigos técnicos; no se muestran palabras como Traceback, undefined o Failed to fetch</t>
        </is>
      </c>
    </row>
    <row r="129">
      <c r="A129" s="6" t="inlineStr">
        <is>
          <t>CP-GEN-01</t>
        </is>
      </c>
      <c r="B129" s="6" t="inlineStr">
        <is>
          <t>General</t>
        </is>
      </c>
      <c r="C129" s="6" t="inlineStr">
        <is>
          <t>Caja blanca</t>
        </is>
      </c>
      <c r="D129" s="6" t="inlineStr">
        <is>
          <t>Módulos de cálculo (densidad, área efectiva, utilidad): camino básico en 4 funciones, con 28 casos CB-01 a CB-28 (documento 22)</t>
        </is>
      </c>
      <c r="E129" s="6" t="inlineStr">
        <is>
          <t>Cobertura de sentencias y decisiones del 100 % en las 4 funciones (V(G) de 8, 9, 7 y 4); cobertura ≥ 80 % en la lógica de negocio; complejidad ciclomática ≤ 10 por función; duplicación ≤ 5 % (SonarQube Quality Gate)</t>
        </is>
      </c>
      <c r="F129" s="6" t="inlineStr">
        <is>
          <t>Pendiente</t>
        </is>
      </c>
      <c r="G129" s="6" t="inlineStr">
        <is>
          <t>Los 28 casos CB-01 a CB-28 pasan y las 4 funciones tienen 100 % de líneas cubiertas (acceso.py y formulas.py). Falta el Quality Gate de SonarQube (duplicación ≤ 5 %), que se ejecuta en CI con SONAR_TOKEN.</t>
        </is>
      </c>
    </row>
    <row r="130">
      <c r="A130" s="6" t="inlineStr">
        <is>
          <t>CP-GEN-02</t>
        </is>
      </c>
      <c r="B130" s="6" t="inlineStr">
        <is>
          <t>General</t>
        </is>
      </c>
      <c r="C130" s="6" t="inlineStr">
        <is>
          <t>Caja blanca</t>
        </is>
      </c>
      <c r="D130" s="6" t="inlineStr">
        <is>
          <t>Validadores de entrada (nombre, correo, clave, montos)</t>
        </is>
      </c>
      <c r="E130" s="6" t="inlineStr">
        <is>
          <t>Cobertura de ramas ≥ 80 % con pytest (Python) y node:test (JavaScript)</t>
        </is>
      </c>
      <c r="F130" s="6" t="inlineStr">
        <is>
          <t>Pendiente</t>
        </is>
      </c>
      <c r="G130" s="6" t="inlineStr">
        <is>
          <t>Cobertura medida de forma aproximada: validaciones.py 89 % de ramas y validaciones.js 91 % (node:test); la meta es ≥ 80 %. Falta confirmarlo con pytest-cov --cov-branch, que corre en CI.</t>
        </is>
      </c>
    </row>
    <row r="131">
      <c r="A131" s="6" t="inlineStr">
        <is>
          <t>CP-GEN-03</t>
        </is>
      </c>
      <c r="B131" s="6" t="inlineStr">
        <is>
          <t>General</t>
        </is>
      </c>
      <c r="C131" s="6" t="inlineStr">
        <is>
          <t>Proceso</t>
        </is>
      </c>
      <c r="D131" s="6" t="inlineStr">
        <is>
          <t>Cada iteración</t>
        </is>
      </c>
      <c r="E131" s="6" t="inlineStr">
        <is>
          <t>Registro de tiempos y defectos (PSP) y 25 métricas con meta (documento 23); densidad de defectos por requisito</t>
        </is>
      </c>
      <c r="F131" s="6" t="inlineStr">
        <is>
          <t>Pendiente</t>
        </is>
      </c>
      <c r="G131" s="6" t="inlineStr">
        <is>
          <t>Es del equipo: las bitácoras de tiempo (PSP) y el registro de defectos se llenan durante las iteraciones (documento 23). No se inventan datos de tiempo.</t>
        </is>
      </c>
    </row>
    <row r="132">
      <c r="A132" s="6" t="inlineStr">
        <is>
          <t>CP-GEN-04</t>
        </is>
      </c>
      <c r="B132" s="6" t="inlineStr">
        <is>
          <t>General</t>
        </is>
      </c>
      <c r="C132" s="6" t="inlineStr">
        <is>
          <t>Humo</t>
        </is>
      </c>
      <c r="D132" s="6" t="inlineStr">
        <is>
          <t>Antes de la sustentación (3 min)</t>
        </is>
      </c>
      <c r="E132" s="6" t="inlineStr">
        <is>
          <t>Los 6 pasos del Apéndice I del ERS terminan sin error</t>
        </is>
      </c>
      <c r="F132" s="6" t="inlineStr">
        <is>
          <t>Pendiente</t>
        </is>
      </c>
      <c r="G132" s="6" t="inlineStr">
        <is>
          <t>Se ejecuta antes de la sustentación sobre el sitio publicado (3 min, 6 pasos del Apéndice I del ERS). Los mismos pasos corren hoy en local en e2e.cjs.</t>
        </is>
      </c>
    </row>
    <row r="133">
      <c r="A133" s="6" t="inlineStr">
        <is>
          <t>CP-V-01-OK</t>
        </is>
      </c>
      <c r="B133" s="6" t="inlineStr">
        <is>
          <t>RF-02</t>
        </is>
      </c>
      <c r="C133" s="6" t="inlineStr">
        <is>
          <t>Validación (dato válido)</t>
        </is>
      </c>
      <c r="D133" s="6" t="inlineStr">
        <is>
          <t>Registro — Nombre: María Pérez</t>
        </is>
      </c>
      <c r="E133" s="6" t="inlineStr">
        <is>
          <t>El sistema acepta el dato y continúa con el siguiente paso</t>
        </is>
      </c>
      <c r="F133" s="6" t="inlineStr">
        <is>
          <t>Aprobado</t>
        </is>
      </c>
      <c r="G133" s="6" t="inlineStr">
        <is>
          <t>Nombre «María Pérez»: cuenta PENDIENTE creada (201)</t>
        </is>
      </c>
    </row>
    <row r="134">
      <c r="A134" s="6" t="inlineStr">
        <is>
          <t>CP-V-01-ERR</t>
        </is>
      </c>
      <c r="B134" s="6" t="inlineStr">
        <is>
          <t>RF-02</t>
        </is>
      </c>
      <c r="C134" s="6" t="inlineStr">
        <is>
          <t>Validación (dato inválido)</t>
        </is>
      </c>
      <c r="D134" s="6" t="inlineStr">
        <is>
          <t>Registro — Nombre: aaaaa</t>
        </is>
      </c>
      <c r="E134" s="6" t="inlineStr">
        <is>
          <t>Muestra «Escriba su nombre completo con letras (entre 2 y 60 caracteres).», no avanza y conserva lo escrito</t>
        </is>
      </c>
      <c r="F134" s="6" t="inlineStr">
        <is>
          <t>Aprobado</t>
        </is>
      </c>
      <c r="G134" s="6" t="inlineStr">
        <is>
          <t>Nombre «aaaaa»: 400 V-01 «Escriba su nombre completo con letras (entre 2 y 60 caracteres).»; no se crea la cuenta</t>
        </is>
      </c>
    </row>
    <row r="135">
      <c r="A135" s="6" t="inlineStr">
        <is>
          <t>CP-V-02-OK</t>
        </is>
      </c>
      <c r="B135" s="6" t="inlineStr">
        <is>
          <t>RF-02</t>
        </is>
      </c>
      <c r="C135" s="6" t="inlineStr">
        <is>
          <t>Validación (dato válido)</t>
        </is>
      </c>
      <c r="D135" s="6" t="inlineStr">
        <is>
          <t>Registro — Ubicación: Caloto, Cauca</t>
        </is>
      </c>
      <c r="E135" s="6" t="inlineStr">
        <is>
          <t>El sistema acepta el dato y continúa con el siguiente paso</t>
        </is>
      </c>
      <c r="F135" s="6" t="inlineStr">
        <is>
          <t>Aprobado</t>
        </is>
      </c>
      <c r="G135" s="6" t="inlineStr">
        <is>
          <t>Ubicación «Caloto, Cauca»: aceptada (201)</t>
        </is>
      </c>
    </row>
    <row r="136">
      <c r="A136" s="6" t="inlineStr">
        <is>
          <t>CP-V-02-ERR</t>
        </is>
      </c>
      <c r="B136" s="6" t="inlineStr">
        <is>
          <t>RF-02</t>
        </is>
      </c>
      <c r="C136" s="6" t="inlineStr">
        <is>
          <t>Validación (dato inválido)</t>
        </is>
      </c>
      <c r="D136" s="6" t="inlineStr">
        <is>
          <t>Registro — Ubicación: 0</t>
        </is>
      </c>
      <c r="E136" s="6" t="inlineStr">
        <is>
          <t>Muestra «Escriba el municipio o la vereda (entre 3 y 60 caracteres).», no avanza y conserva lo escrito</t>
        </is>
      </c>
      <c r="F136" s="6" t="inlineStr">
        <is>
          <t>Aprobado</t>
        </is>
      </c>
      <c r="G136" s="6" t="inlineStr">
        <is>
          <t>Ubicación «0»: 400 V-02 «Escriba el municipio o la vereda (entre 3 y 60 caracteres).»</t>
        </is>
      </c>
    </row>
    <row r="137">
      <c r="A137" s="6" t="inlineStr">
        <is>
          <t>CP-V-03-OK</t>
        </is>
      </c>
      <c r="B137" s="6" t="inlineStr">
        <is>
          <t>RF-02</t>
        </is>
      </c>
      <c r="C137" s="6" t="inlineStr">
        <is>
          <t>Validación (dato válido)</t>
        </is>
      </c>
      <c r="D137" s="6" t="inlineStr">
        <is>
          <t>Registro — Correo: Maria@Correo.com</t>
        </is>
      </c>
      <c r="E137" s="6" t="inlineStr">
        <is>
          <t>El sistema acepta el dato y continúa con el siguiente paso</t>
        </is>
      </c>
      <c r="F137" s="6" t="inlineStr">
        <is>
          <t>Aprobado</t>
        </is>
      </c>
      <c r="G137" s="6" t="inlineStr">
        <is>
          <t>Correo «Maria@Correo.com»: aceptado y guardado en minúsculas (maria@correo.com)</t>
        </is>
      </c>
    </row>
    <row r="138">
      <c r="A138" s="6" t="inlineStr">
        <is>
          <t>CP-V-03-ERR</t>
        </is>
      </c>
      <c r="B138" s="6" t="inlineStr">
        <is>
          <t>RF-02</t>
        </is>
      </c>
      <c r="C138" s="6" t="inlineStr">
        <is>
          <t>Validación (dato inválido)</t>
        </is>
      </c>
      <c r="D138" s="6" t="inlineStr">
        <is>
          <t>Registro — Correo: 0@0</t>
        </is>
      </c>
      <c r="E138" s="6" t="inlineStr">
        <is>
          <t>Muestra «Escriba un correo válido, por ejemplo nombre@correo.com.», no avanza y conserva lo escrito</t>
        </is>
      </c>
      <c r="F138" s="6" t="inlineStr">
        <is>
          <t>Aprobado</t>
        </is>
      </c>
      <c r="G138" s="6" t="inlineStr">
        <is>
          <t>Correo «0@0»: 400 V-03 «Escriba un correo válido, por ejemplo nombre@correo.com.»</t>
        </is>
      </c>
    </row>
    <row r="139">
      <c r="A139" s="6" t="inlineStr">
        <is>
          <t>CP-V-04-OK</t>
        </is>
      </c>
      <c r="B139" s="6" t="inlineStr">
        <is>
          <t>RF-02</t>
        </is>
      </c>
      <c r="C139" s="6" t="inlineStr">
        <is>
          <t>Validación (dato válido)</t>
        </is>
      </c>
      <c r="D139" s="6" t="inlineStr">
        <is>
          <t>Registro — Confirmar correo: maria@correo.com</t>
        </is>
      </c>
      <c r="E139" s="6" t="inlineStr">
        <is>
          <t>El sistema acepta el dato y continúa con el siguiente paso</t>
        </is>
      </c>
      <c r="F139" s="6" t="inlineStr">
        <is>
          <t>Aprobado</t>
        </is>
      </c>
      <c r="G139" s="6" t="inlineStr">
        <is>
          <t>Confirmación idéntica sin distinguir mayúsculas: aceptada (201)</t>
        </is>
      </c>
    </row>
    <row r="140">
      <c r="A140" s="6" t="inlineStr">
        <is>
          <t>CP-V-04-ERR</t>
        </is>
      </c>
      <c r="B140" s="6" t="inlineStr">
        <is>
          <t>RF-02</t>
        </is>
      </c>
      <c r="C140" s="6" t="inlineStr">
        <is>
          <t>Validación (dato inválido)</t>
        </is>
      </c>
      <c r="D140" s="6" t="inlineStr">
        <is>
          <t>Registro — Confirmar correo: maria@correo.co</t>
        </is>
      </c>
      <c r="E140" s="6" t="inlineStr">
        <is>
          <t>Muestra «Los dos correos no coinciden.», no avanza y conserva lo escrito</t>
        </is>
      </c>
      <c r="F140" s="6" t="inlineStr">
        <is>
          <t>Aprobado</t>
        </is>
      </c>
      <c r="G140" s="6" t="inlineStr">
        <is>
          <t>Confirmación «maria@correo.co»: 400 V-04 «Los dos correos no coinciden.»</t>
        </is>
      </c>
    </row>
    <row r="141">
      <c r="A141" s="6" t="inlineStr">
        <is>
          <t>CP-V-05-OK</t>
        </is>
      </c>
      <c r="B141" s="6" t="inlineStr">
        <is>
          <t>RF-02</t>
        </is>
      </c>
      <c r="C141" s="6" t="inlineStr">
        <is>
          <t>Validación (dato válido)</t>
        </is>
      </c>
      <c r="D141" s="6" t="inlineStr">
        <is>
          <t>Registro — Correo ya usado por una cuenta activa: ana@correo.com (nuevo)</t>
        </is>
      </c>
      <c r="E141" s="6" t="inlineStr">
        <is>
          <t>El sistema acepta el dato y continúa con el siguiente paso</t>
        </is>
      </c>
      <c r="F141" s="6" t="inlineStr">
        <is>
          <t>Aprobado</t>
        </is>
      </c>
      <c r="G141" s="6" t="inlineStr">
        <is>
          <t>Correo nuevo «ana@correo.com» con otra cuenta activa existente: aceptado (201)</t>
        </is>
      </c>
    </row>
    <row r="142">
      <c r="A142" s="6" t="inlineStr">
        <is>
          <t>CP-V-05-ERR</t>
        </is>
      </c>
      <c r="B142" s="6" t="inlineStr">
        <is>
          <t>RF-02</t>
        </is>
      </c>
      <c r="C142" s="6" t="inlineStr">
        <is>
          <t>Validación (dato inválido)</t>
        </is>
      </c>
      <c r="D142" s="6" t="inlineStr">
        <is>
          <t>Registro — Correo ya usado por una cuenta activa: maria@correo.com (ya activo)</t>
        </is>
      </c>
      <c r="E142" s="6" t="inlineStr">
        <is>
          <t>Muestra «Este correo ya está registrado. Inicie sesión.», no avanza y conserva lo escrito</t>
        </is>
      </c>
      <c r="F142" s="6" t="inlineStr">
        <is>
          <t>Aprobado</t>
        </is>
      </c>
      <c r="G142" s="6" t="inlineStr">
        <is>
          <t>Correo de cuenta activa: 409 V-05 «Este correo ya está registrado. Inicie sesión.»; no se crea otra cuenta</t>
        </is>
      </c>
    </row>
    <row r="143">
      <c r="A143" s="6" t="inlineStr">
        <is>
          <t>CP-V-06-OK</t>
        </is>
      </c>
      <c r="B143" s="6" t="inlineStr">
        <is>
          <t>RF-02</t>
        </is>
      </c>
      <c r="C143" s="6" t="inlineStr">
        <is>
          <t>Validación (dato válido)</t>
        </is>
      </c>
      <c r="D143" s="6" t="inlineStr">
        <is>
          <t>Registro — Correo con cuenta pendiente: —</t>
        </is>
      </c>
      <c r="E143" s="6" t="inlineStr">
        <is>
          <t>El sistema acepta el dato y continúa con el siguiente paso</t>
        </is>
      </c>
      <c r="F143" s="6" t="inlineStr">
        <is>
          <t>Aprobado</t>
        </is>
      </c>
      <c r="G143" s="6" t="inlineStr">
        <is>
          <t>Sin cuenta pendiente previa (el plan indica «—»): registro aceptado (201)</t>
        </is>
      </c>
    </row>
    <row r="144">
      <c r="A144" s="6" t="inlineStr">
        <is>
          <t>CP-V-06-ERR</t>
        </is>
      </c>
      <c r="B144" s="6" t="inlineStr">
        <is>
          <t>RF-02</t>
        </is>
      </c>
      <c r="C144" s="6" t="inlineStr">
        <is>
          <t>Validación (dato inválido)</t>
        </is>
      </c>
      <c r="D144" s="6" t="inlineStr">
        <is>
          <t>Registro — Correo con cuenta pendiente: maria@correo.com (pendiente)</t>
        </is>
      </c>
      <c r="E144" s="6" t="inlineStr">
        <is>
          <t>Muestra «Este correo tiene una cuenta pendiente de activar. Revise su correo o intente de nuevo después de 24 horas.», no avanza y conserva lo escrito</t>
        </is>
      </c>
      <c r="F144" s="6" t="inlineStr">
        <is>
          <t>Aprobado</t>
        </is>
      </c>
      <c r="G144" s="6" t="inlineStr">
        <is>
          <t>Correo con cuenta pendiente de menos de 24 h: 409 V-06 «Este correo tiene una cuenta pendiente de activar. Revise su correo o intente de nuevo después de 24 horas.»</t>
        </is>
      </c>
    </row>
    <row r="145">
      <c r="A145" s="6" t="inlineStr">
        <is>
          <t>CP-V-07-OK</t>
        </is>
      </c>
      <c r="B145" s="6" t="inlineStr">
        <is>
          <t>RF-02</t>
        </is>
      </c>
      <c r="C145" s="6" t="inlineStr">
        <is>
          <t>Validación (dato válido)</t>
        </is>
      </c>
      <c r="D145" s="6" t="inlineStr">
        <is>
          <t>Registro — Clave: Cafe#Cauca2026</t>
        </is>
      </c>
      <c r="E145" s="6" t="inlineStr">
        <is>
          <t>El sistema acepta el dato y continúa con el siguiente paso</t>
        </is>
      </c>
      <c r="F145" s="6" t="inlineStr">
        <is>
          <t>Aprobado</t>
        </is>
      </c>
      <c r="G145" s="6" t="inlineStr">
        <is>
          <t>Clave «Cafe#Cauca2026»: aceptada (201)</t>
        </is>
      </c>
    </row>
    <row r="146">
      <c r="A146" s="6" t="inlineStr">
        <is>
          <t>CP-V-07-ERR</t>
        </is>
      </c>
      <c r="B146" s="6" t="inlineStr">
        <is>
          <t>RF-02</t>
        </is>
      </c>
      <c r="C146" s="6" t="inlineStr">
        <is>
          <t>Validación (dato inválido)</t>
        </is>
      </c>
      <c r="D146" s="6" t="inlineStr">
        <is>
          <t>Registro — Clave: abcdefghij</t>
        </is>
      </c>
      <c r="E146" s="6" t="inlineStr">
        <is>
          <t>Muestra «La clave debe tener de 10 a 64 caracteres, con mayúscula, minúscula, número y símbolo (sin espacios ni tildes).», no avanza y conserva lo escrito</t>
        </is>
      </c>
      <c r="F146" s="6" t="inlineStr">
        <is>
          <t>Aprobado</t>
        </is>
      </c>
      <c r="G146" s="6" t="inlineStr">
        <is>
          <t>Clave «abcdefghij»: 400 V-07 «La clave debe tener de 10 a 64 caracteres, con mayúscula, minúscula, número y símbolo (sin espacios ni tildes).»</t>
        </is>
      </c>
    </row>
    <row r="147">
      <c r="A147" s="6" t="inlineStr">
        <is>
          <t>CP-V-08-OK</t>
        </is>
      </c>
      <c r="B147" s="6" t="inlineStr">
        <is>
          <t>RF-02</t>
        </is>
      </c>
      <c r="C147" s="6" t="inlineStr">
        <is>
          <t>Validación (dato válido)</t>
        </is>
      </c>
      <c r="D147" s="6" t="inlineStr">
        <is>
          <t>Registro — Autorización de datos (Ley 1581): Marcada</t>
        </is>
      </c>
      <c r="E147" s="6" t="inlineStr">
        <is>
          <t>El sistema acepta el dato y continúa con el siguiente paso</t>
        </is>
      </c>
      <c r="F147" s="6" t="inlineStr">
        <is>
          <t>Aprobado</t>
        </is>
      </c>
      <c r="G147" s="6" t="inlineStr">
        <is>
          <t>Casilla de la Ley 1581 marcada: cuenta creada (201)</t>
        </is>
      </c>
    </row>
    <row r="148">
      <c r="A148" s="6" t="inlineStr">
        <is>
          <t>CP-V-08-ERR</t>
        </is>
      </c>
      <c r="B148" s="6" t="inlineStr">
        <is>
          <t>RF-02</t>
        </is>
      </c>
      <c r="C148" s="6" t="inlineStr">
        <is>
          <t>Validación (dato inválido)</t>
        </is>
      </c>
      <c r="D148" s="6" t="inlineStr">
        <is>
          <t>Registro — Autorización de datos (Ley 1581): Sin marcar</t>
        </is>
      </c>
      <c r="E148" s="6" t="inlineStr">
        <is>
          <t>Muestra «Debe aceptar el tratamiento de datos personales para registrarse.», no avanza y conserva lo escrito</t>
        </is>
      </c>
      <c r="F148" s="6" t="inlineStr">
        <is>
          <t>Aprobado</t>
        </is>
      </c>
      <c r="G148" s="6" t="inlineStr">
        <is>
          <t>Casilla sin marcar: 400 V-08 «Debe aceptar el tratamiento de datos personales para registrarse.»; no se crea la cuenta</t>
        </is>
      </c>
    </row>
    <row r="149">
      <c r="A149" s="6" t="inlineStr">
        <is>
          <t>CP-V-09-OK</t>
        </is>
      </c>
      <c r="B149" s="6" t="inlineStr">
        <is>
          <t>RF-02</t>
        </is>
      </c>
      <c r="C149" s="6" t="inlineStr">
        <is>
          <t>Validación (dato válido)</t>
        </is>
      </c>
      <c r="D149" s="6" t="inlineStr">
        <is>
          <t>Código OTP — Formato del código: 482915</t>
        </is>
      </c>
      <c r="E149" s="6" t="inlineStr">
        <is>
          <t>El sistema acepta el dato y continúa con el siguiente paso</t>
        </is>
      </c>
      <c r="F149" s="6" t="inlineStr">
        <is>
          <t>Aprobado</t>
        </is>
      </c>
      <c r="G149" s="6" t="inlineStr">
        <is>
          <t>Código «482915» (6 dígitos): cuenta ACTIVA (200)</t>
        </is>
      </c>
    </row>
    <row r="150">
      <c r="A150" s="6" t="inlineStr">
        <is>
          <t>CP-V-09-ERR</t>
        </is>
      </c>
      <c r="B150" s="6" t="inlineStr">
        <is>
          <t>RF-02</t>
        </is>
      </c>
      <c r="C150" s="6" t="inlineStr">
        <is>
          <t>Validación (dato inválido)</t>
        </is>
      </c>
      <c r="D150" s="6" t="inlineStr">
        <is>
          <t>Código OTP — Formato del código: 48A</t>
        </is>
      </c>
      <c r="E150" s="6" t="inlineStr">
        <is>
          <t>Muestra «Escriba los 6 dígitos del código.», no avanza y conserva lo escrito</t>
        </is>
      </c>
      <c r="F150" s="6" t="inlineStr">
        <is>
          <t>Aprobado</t>
        </is>
      </c>
      <c r="G150" s="6" t="inlineStr">
        <is>
          <t>Código «48A»: 400 V-09 «Escriba los 6 dígitos del código.»</t>
        </is>
      </c>
    </row>
    <row r="151">
      <c r="A151" s="6" t="inlineStr">
        <is>
          <t>CP-V-10-OK</t>
        </is>
      </c>
      <c r="B151" s="6" t="inlineStr">
        <is>
          <t>RF-02</t>
        </is>
      </c>
      <c r="C151" s="6" t="inlineStr">
        <is>
          <t>Validación (dato válido)</t>
        </is>
      </c>
      <c r="D151" s="6" t="inlineStr">
        <is>
          <t>Código OTP — Código incorrecto: Código enviado</t>
        </is>
      </c>
      <c r="E151" s="6" t="inlineStr">
        <is>
          <t>El sistema acepta el dato y continúa con el siguiente paso</t>
        </is>
      </c>
      <c r="F151" s="6" t="inlineStr">
        <is>
          <t>Aprobado</t>
        </is>
      </c>
      <c r="G151" s="6" t="inlineStr">
        <is>
          <t>Código enviado: cuenta ACTIVA (200)</t>
        </is>
      </c>
    </row>
    <row r="152">
      <c r="A152" s="6" t="inlineStr">
        <is>
          <t>CP-V-10-ERR</t>
        </is>
      </c>
      <c r="B152" s="6" t="inlineStr">
        <is>
          <t>RF-02</t>
        </is>
      </c>
      <c r="C152" s="6" t="inlineStr">
        <is>
          <t>Validación (dato inválido)</t>
        </is>
      </c>
      <c r="D152" s="6" t="inlineStr">
        <is>
          <t>Código OTP — Código incorrecto: Código distinto al enviado</t>
        </is>
      </c>
      <c r="E152" s="6" t="inlineStr">
        <is>
          <t>Muestra «Código incorrecto. Le quedan N intentos.», no avanza y conserva lo escrito</t>
        </is>
      </c>
      <c r="F152" s="6" t="inlineStr">
        <is>
          <t>Aprobado</t>
        </is>
      </c>
      <c r="G152" s="6" t="inlineStr">
        <is>
          <t>Código distinto al enviado: 400 V-10 con intentos_restantes = 4 «Código incorrecto. Le quedan 4 intentos.»</t>
        </is>
      </c>
    </row>
    <row r="153">
      <c r="A153" s="6" t="inlineStr">
        <is>
          <t>CP-V-11-OK</t>
        </is>
      </c>
      <c r="B153" s="6" t="inlineStr">
        <is>
          <t>RF-02</t>
        </is>
      </c>
      <c r="C153" s="6" t="inlineStr">
        <is>
          <t>Validación (dato válido)</t>
        </is>
      </c>
      <c r="D153" s="6" t="inlineStr">
        <is>
          <t>Código OTP — Código vencido: A los 14 min 59 s</t>
        </is>
      </c>
      <c r="E153" s="6" t="inlineStr">
        <is>
          <t>El sistema acepta el dato y continúa con el siguiente paso</t>
        </is>
      </c>
      <c r="F153" s="6" t="inlineStr">
        <is>
          <t>Aprobado</t>
        </is>
      </c>
      <c r="G153" s="6" t="inlineStr">
        <is>
          <t>Código usado a los 14 min 59 s: cuenta ACTIVA (200)</t>
        </is>
      </c>
    </row>
    <row r="154">
      <c r="A154" s="6" t="inlineStr">
        <is>
          <t>CP-V-11-ERR</t>
        </is>
      </c>
      <c r="B154" s="6" t="inlineStr">
        <is>
          <t>RF-02</t>
        </is>
      </c>
      <c r="C154" s="6" t="inlineStr">
        <is>
          <t>Validación (dato inválido)</t>
        </is>
      </c>
      <c r="D154" s="6" t="inlineStr">
        <is>
          <t>Código OTP — Código vencido: A los 15 min 01 s</t>
        </is>
      </c>
      <c r="E154" s="6" t="inlineStr">
        <is>
          <t>Muestra «El código venció. Pida uno nuevo.», no avanza y conserva lo escrito</t>
        </is>
      </c>
      <c r="F154" s="6" t="inlineStr">
        <is>
          <t>Aprobado</t>
        </is>
      </c>
      <c r="G154" s="6" t="inlineStr">
        <is>
          <t>Código usado a los 15 min 01 s: 400 V-11 «El código venció. Pida uno nuevo.»</t>
        </is>
      </c>
    </row>
    <row r="155">
      <c r="A155" s="6" t="inlineStr">
        <is>
          <t>CP-V-12-OK</t>
        </is>
      </c>
      <c r="B155" s="6" t="inlineStr">
        <is>
          <t>RF-02</t>
        </is>
      </c>
      <c r="C155" s="6" t="inlineStr">
        <is>
          <t>Validación (dato válido)</t>
        </is>
      </c>
      <c r="D155" s="6" t="inlineStr">
        <is>
          <t>Código OTP — Intentos agotados: —</t>
        </is>
      </c>
      <c r="E155" s="6" t="inlineStr">
        <is>
          <t>El sistema acepta el dato y continúa con el siguiente paso</t>
        </is>
      </c>
      <c r="F155" s="6" t="inlineStr">
        <is>
          <t>Aprobado</t>
        </is>
      </c>
      <c r="G155" s="6" t="inlineStr">
        <is>
          <t>El plan indica «—»; con 4 fallos el código correcto todavía activa la cuenta (200)</t>
        </is>
      </c>
    </row>
    <row r="156">
      <c r="A156" s="6" t="inlineStr">
        <is>
          <t>CP-V-12-ERR</t>
        </is>
      </c>
      <c r="B156" s="6" t="inlineStr">
        <is>
          <t>RF-02</t>
        </is>
      </c>
      <c r="C156" s="6" t="inlineStr">
        <is>
          <t>Validación (dato inválido)</t>
        </is>
      </c>
      <c r="D156" s="6" t="inlineStr">
        <is>
          <t>Código OTP — Intentos agotados: 6.º intento con el mismo código</t>
        </is>
      </c>
      <c r="E156" s="6" t="inlineStr">
        <is>
          <t>Muestra «Demasiados intentos. Pida un código nuevo.», no avanza y conserva lo escrito</t>
        </is>
      </c>
      <c r="F156" s="6" t="inlineStr">
        <is>
          <t>Aprobado</t>
        </is>
      </c>
      <c r="G156" s="6" t="inlineStr">
        <is>
          <t>5.º fallo: 423 V-12 «Demasiados intentos. Pida un código nuevo.»; un 6.º intento, aun con el código correcto, también da 423</t>
        </is>
      </c>
    </row>
    <row r="157">
      <c r="A157" s="6" t="inlineStr">
        <is>
          <t>CP-V-13-OK</t>
        </is>
      </c>
      <c r="B157" s="6" t="inlineStr">
        <is>
          <t>RF-02</t>
        </is>
      </c>
      <c r="C157" s="6" t="inlineStr">
        <is>
          <t>Validación (dato válido)</t>
        </is>
      </c>
      <c r="D157" s="6" t="inlineStr">
        <is>
          <t>Código OTP — Espera entre reenvíos: Reenvío a los 60 s</t>
        </is>
      </c>
      <c r="E157" s="6" t="inlineStr">
        <is>
          <t>El sistema acepta el dato y continúa con el siguiente paso</t>
        </is>
      </c>
      <c r="F157" s="6" t="inlineStr">
        <is>
          <t>Aprobado</t>
        </is>
      </c>
      <c r="G157" s="6" t="inlineStr">
        <is>
          <t>Reenvío a los 60 s: 200, código nuevo; reenvios_restantes = 2</t>
        </is>
      </c>
    </row>
    <row r="158">
      <c r="A158" s="6" t="inlineStr">
        <is>
          <t>CP-V-13-ERR</t>
        </is>
      </c>
      <c r="B158" s="6" t="inlineStr">
        <is>
          <t>RF-02</t>
        </is>
      </c>
      <c r="C158" s="6" t="inlineStr">
        <is>
          <t>Validación (dato inválido)</t>
        </is>
      </c>
      <c r="D158" s="6" t="inlineStr">
        <is>
          <t>Código OTP — Espera entre reenvíos: Reenvío a los 30 s</t>
        </is>
      </c>
      <c r="E158" s="6" t="inlineStr">
        <is>
          <t>Muestra «Espere N segundos para pedir otro código.», no avanza y conserva lo escrito</t>
        </is>
      </c>
      <c r="F158" s="6" t="inlineStr">
        <is>
          <t>Aprobado</t>
        </is>
      </c>
      <c r="G158" s="6" t="inlineStr">
        <is>
          <t>Reenvío a los 30 s: 429 V-13, espera restante 30 s, cabecera Retry-After presente</t>
        </is>
      </c>
    </row>
    <row r="159">
      <c r="A159" s="6" t="inlineStr">
        <is>
          <t>CP-V-14-OK</t>
        </is>
      </c>
      <c r="B159" s="6" t="inlineStr">
        <is>
          <t>RF-02</t>
        </is>
      </c>
      <c r="C159" s="6" t="inlineStr">
        <is>
          <t>Validación (dato válido)</t>
        </is>
      </c>
      <c r="D159" s="6" t="inlineStr">
        <is>
          <t>Código OTP — Máximo de reenvíos: 3.er reenvío</t>
        </is>
      </c>
      <c r="E159" s="6" t="inlineStr">
        <is>
          <t>El sistema acepta el dato y continúa con el siguiente paso</t>
        </is>
      </c>
      <c r="F159" s="6" t="inlineStr">
        <is>
          <t>Aprobado</t>
        </is>
      </c>
      <c r="G159" s="6" t="inlineStr">
        <is>
          <t>3.er reenvío: 200; reenvios_restantes = 0</t>
        </is>
      </c>
    </row>
    <row r="160">
      <c r="A160" s="6" t="inlineStr">
        <is>
          <t>CP-V-14-ERR</t>
        </is>
      </c>
      <c r="B160" s="6" t="inlineStr">
        <is>
          <t>RF-02</t>
        </is>
      </c>
      <c r="C160" s="6" t="inlineStr">
        <is>
          <t>Validación (dato inválido)</t>
        </is>
      </c>
      <c r="D160" s="6" t="inlineStr">
        <is>
          <t>Código OTP — Máximo de reenvíos: 4.º reenvío</t>
        </is>
      </c>
      <c r="E160" s="6" t="inlineStr">
        <is>
          <t>Muestra «Llegó al máximo de 3 reenvíos. Intente de nuevo después de 24 horas.», no avanza y conserva lo escrito</t>
        </is>
      </c>
      <c r="F160" s="6" t="inlineStr">
        <is>
          <t>Aprobado</t>
        </is>
      </c>
      <c r="G160" s="6" t="inlineStr">
        <is>
          <t>4.º reenvío: 429 V-14 «Llegó al máximo de 3 reenvíos. Intente de nuevo después de 24 horas.»</t>
        </is>
      </c>
    </row>
    <row r="161">
      <c r="A161" s="6" t="inlineStr">
        <is>
          <t>CP-V-15-OK</t>
        </is>
      </c>
      <c r="B161" s="6" t="inlineStr">
        <is>
          <t>RF-02</t>
        </is>
      </c>
      <c r="C161" s="6" t="inlineStr">
        <is>
          <t>Validación (dato válido)</t>
        </is>
      </c>
      <c r="D161" s="6" t="inlineStr">
        <is>
          <t>Código OTP — Cuenta pendiente de más de 24 horas: Activar a las 23 h</t>
        </is>
      </c>
      <c r="E161" s="6" t="inlineStr">
        <is>
          <t>El sistema acepta el dato y continúa con el siguiente paso</t>
        </is>
      </c>
      <c r="F161" s="6" t="inlineStr">
        <is>
          <t>Aprobado</t>
        </is>
      </c>
      <c r="G161" s="6" t="inlineStr">
        <is>
          <t>Activación a las 23 h: cuenta ACTIVA (200)</t>
        </is>
      </c>
    </row>
    <row r="162">
      <c r="A162" s="6" t="inlineStr">
        <is>
          <t>CP-V-15-ERR</t>
        </is>
      </c>
      <c r="B162" s="6" t="inlineStr">
        <is>
          <t>RF-02</t>
        </is>
      </c>
      <c r="C162" s="6" t="inlineStr">
        <is>
          <t>Validación (dato inválido)</t>
        </is>
      </c>
      <c r="D162" s="6" t="inlineStr">
        <is>
          <t>Código OTP — Cuenta pendiente de más de 24 horas: Activar a las 25 h</t>
        </is>
      </c>
      <c r="E162" s="6" t="inlineStr">
        <is>
          <t>Muestra «La cuenta venció. Regístrese de nuevo.», no avanza y conserva lo escrito</t>
        </is>
      </c>
      <c r="F162" s="6" t="inlineStr">
        <is>
          <t>Aprobado</t>
        </is>
      </c>
      <c r="G162" s="6" t="inlineStr">
        <is>
          <t>Activación a las 25 h: 410 V-15 «La cuenta venció. Regístrese de nuevo.»; la cuenta fue eliminada y el correo queda libre</t>
        </is>
      </c>
    </row>
    <row r="163">
      <c r="A163" s="6" t="inlineStr">
        <is>
          <t>CP-V-16-OK</t>
        </is>
      </c>
      <c r="B163" s="6" t="inlineStr">
        <is>
          <t>RF-03</t>
        </is>
      </c>
      <c r="C163" s="6" t="inlineStr">
        <is>
          <t>Validación (dato válido)</t>
        </is>
      </c>
      <c r="D163" s="6" t="inlineStr">
        <is>
          <t>Inicio de sesión — Correo y clave vacíos: Ambos escritos</t>
        </is>
      </c>
      <c r="E163" s="6" t="inlineStr">
        <is>
          <t>El sistema acepta el dato y continúa con el siguiente paso</t>
        </is>
      </c>
      <c r="F163" s="6" t="inlineStr">
        <is>
          <t>Aprobado</t>
        </is>
      </c>
      <c r="G163" s="6" t="inlineStr">
        <is>
          <t>Correo y clave escritos: ingreso aceptado (200)</t>
        </is>
      </c>
    </row>
    <row r="164">
      <c r="A164" s="6" t="inlineStr">
        <is>
          <t>CP-V-16-ERR</t>
        </is>
      </c>
      <c r="B164" s="6" t="inlineStr">
        <is>
          <t>RF-03</t>
        </is>
      </c>
      <c r="C164" s="6" t="inlineStr">
        <is>
          <t>Validación (dato inválido)</t>
        </is>
      </c>
      <c r="D164" s="6" t="inlineStr">
        <is>
          <t>Inicio de sesión — Correo y clave vacíos: Clave vacía</t>
        </is>
      </c>
      <c r="E164" s="6" t="inlineStr">
        <is>
          <t>Muestra «Escriba su correo y su clave.», no avanza y conserva lo escrito</t>
        </is>
      </c>
      <c r="F164" s="6" t="inlineStr">
        <is>
          <t>Aprobado</t>
        </is>
      </c>
      <c r="G164" s="6" t="inlineStr">
        <is>
          <t>Clave vacía: 400 V-16 «Escriba su correo y su clave.»</t>
        </is>
      </c>
    </row>
    <row r="165">
      <c r="A165" s="6" t="inlineStr">
        <is>
          <t>CP-V-17-OK</t>
        </is>
      </c>
      <c r="B165" s="6" t="inlineStr">
        <is>
          <t>RF-03</t>
        </is>
      </c>
      <c r="C165" s="6" t="inlineStr">
        <is>
          <t>Validación (dato válido)</t>
        </is>
      </c>
      <c r="D165" s="6" t="inlineStr">
        <is>
          <t>Inicio de sesión — Credenciales: Correo y clave correctos</t>
        </is>
      </c>
      <c r="E165" s="6" t="inlineStr">
        <is>
          <t>El sistema acepta el dato y continúa con el siguiente paso</t>
        </is>
      </c>
      <c r="F165" s="6" t="inlineStr">
        <is>
          <t>Aprobado</t>
        </is>
      </c>
      <c r="G165" s="6" t="inlineStr">
        <is>
          <t>Correo (sin distinguir mayúsculas) y clave correctos: 200 con token de sesión</t>
        </is>
      </c>
    </row>
    <row r="166">
      <c r="A166" s="6" t="inlineStr">
        <is>
          <t>CP-V-17-ERR</t>
        </is>
      </c>
      <c r="B166" s="6" t="inlineStr">
        <is>
          <t>RF-03</t>
        </is>
      </c>
      <c r="C166" s="6" t="inlineStr">
        <is>
          <t>Validación (dato inválido)</t>
        </is>
      </c>
      <c r="D166" s="6" t="inlineStr">
        <is>
          <t>Inicio de sesión — Credenciales: Clave equivocada</t>
        </is>
      </c>
      <c r="E166" s="6" t="inlineStr">
        <is>
          <t>Muestra «Correo o clave incorrectos.», no avanza y conserva lo escrito</t>
        </is>
      </c>
      <c r="F166" s="6" t="inlineStr">
        <is>
          <t>Aprobado</t>
        </is>
      </c>
      <c r="G166" s="6" t="inlineStr">
        <is>
          <t>Clave equivocada: 401 V-17 «Correo o clave incorrectos.» (no revela si falló el correo o la clave)</t>
        </is>
      </c>
    </row>
    <row r="167">
      <c r="A167" s="6" t="inlineStr">
        <is>
          <t>CP-V-18-OK</t>
        </is>
      </c>
      <c r="B167" s="6" t="inlineStr">
        <is>
          <t>RF-03</t>
        </is>
      </c>
      <c r="C167" s="6" t="inlineStr">
        <is>
          <t>Validación (dato válido)</t>
        </is>
      </c>
      <c r="D167" s="6" t="inlineStr">
        <is>
          <t>Inicio de sesión — Bloqueo por intentos: 4.º intento fallido</t>
        </is>
      </c>
      <c r="E167" s="6" t="inlineStr">
        <is>
          <t>El sistema acepta el dato y continúa con el siguiente paso</t>
        </is>
      </c>
      <c r="F167" s="6" t="inlineStr">
        <is>
          <t>Aprobado</t>
        </is>
      </c>
      <c r="G167" s="6" t="inlineStr">
        <is>
          <t>4 fallos seguidos (401) y luego la clave correcta: ingresa (200)</t>
        </is>
      </c>
    </row>
    <row r="168">
      <c r="A168" s="6" t="inlineStr">
        <is>
          <t>CP-V-18-ERR</t>
        </is>
      </c>
      <c r="B168" s="6" t="inlineStr">
        <is>
          <t>RF-03</t>
        </is>
      </c>
      <c r="C168" s="6" t="inlineStr">
        <is>
          <t>Validación (dato inválido)</t>
        </is>
      </c>
      <c r="D168" s="6" t="inlineStr">
        <is>
          <t>Inicio de sesión — Bloqueo por intentos: 5.º intento fallido</t>
        </is>
      </c>
      <c r="E168" s="6" t="inlineStr">
        <is>
          <t>Muestra «Cuenta bloqueada por 15 minutos. Intente de nuevo a las HH:MM.», no avanza y conserva lo escrito</t>
        </is>
      </c>
      <c r="F168" s="6" t="inlineStr">
        <is>
          <t>Aprobado</t>
        </is>
      </c>
      <c r="G168" s="6" t="inlineStr">
        <is>
          <t>5.º fallo: 423 V-18, bloqueo de 15 min hasta 2026-10-28T07:10:34.920Z «Cuenta bloqueada por 15 minutos. Intente de nuevo a las 02:10.»</t>
        </is>
      </c>
    </row>
    <row r="169">
      <c r="A169" s="6" t="inlineStr">
        <is>
          <t>CP-V-19-OK</t>
        </is>
      </c>
      <c r="B169" s="6" t="inlineStr">
        <is>
          <t>RF-03</t>
        </is>
      </c>
      <c r="C169" s="6" t="inlineStr">
        <is>
          <t>Validación (dato válido)</t>
        </is>
      </c>
      <c r="D169" s="6" t="inlineStr">
        <is>
          <t>Inicio de sesión — Cuenta pendiente: Cuenta activa</t>
        </is>
      </c>
      <c r="E169" s="6" t="inlineStr">
        <is>
          <t>El sistema acepta el dato y continúa con el siguiente paso</t>
        </is>
      </c>
      <c r="F169" s="6" t="inlineStr">
        <is>
          <t>Aprobado</t>
        </is>
      </c>
      <c r="G169" s="6" t="inlineStr">
        <is>
          <t>Cuenta ACTIVA: inicia sesión (200)</t>
        </is>
      </c>
    </row>
    <row r="170">
      <c r="A170" s="6" t="inlineStr">
        <is>
          <t>CP-V-19-ERR</t>
        </is>
      </c>
      <c r="B170" s="6" t="inlineStr">
        <is>
          <t>RF-03</t>
        </is>
      </c>
      <c r="C170" s="6" t="inlineStr">
        <is>
          <t>Validación (dato inválido)</t>
        </is>
      </c>
      <c r="D170" s="6" t="inlineStr">
        <is>
          <t>Inicio de sesión — Cuenta pendiente: Cuenta pendiente</t>
        </is>
      </c>
      <c r="E170" s="6" t="inlineStr">
        <is>
          <t>Muestra «Su cuenta aún no está activada. Ingrese el código que llegó a su correo.», no avanza y conserva lo escrito</t>
        </is>
      </c>
      <c r="F170" s="6" t="inlineStr">
        <is>
          <t>Aprobado</t>
        </is>
      </c>
      <c r="G170" s="6" t="inlineStr">
        <is>
          <t>Cuenta PENDIENTE: 403 V-19 con accion VERIFICAR_OTP y token de activación «Su cuenta aún no está activada. Ingrese el código que llegó a su correo.»</t>
        </is>
      </c>
    </row>
    <row r="171">
      <c r="A171" s="6" t="inlineStr">
        <is>
          <t>CP-V-20-OK</t>
        </is>
      </c>
      <c r="B171" s="6" t="inlineStr">
        <is>
          <t>RF-04</t>
        </is>
      </c>
      <c r="C171" s="6" t="inlineStr">
        <is>
          <t>Validación (dato válido)</t>
        </is>
      </c>
      <c r="D171" s="6" t="inlineStr">
        <is>
          <t>Cerrar sesión — Registros sin enviar: Sin pendientes</t>
        </is>
      </c>
      <c r="E171" s="6" t="inlineStr">
        <is>
          <t>El sistema acepta el dato y continúa con el siguiente paso</t>
        </is>
      </c>
      <c r="F171" s="6" t="inlineStr">
        <is>
          <t>Aprobado</t>
        </is>
      </c>
      <c r="G171" s="6" t="inlineStr">
        <is>
          <t>Cerrar sesión sin pendientes: cierra directamente, sin pedir confirmación</t>
        </is>
      </c>
    </row>
    <row r="172">
      <c r="A172" s="6" t="inlineStr">
        <is>
          <t>CP-V-20-ERR</t>
        </is>
      </c>
      <c r="B172" s="6" t="inlineStr">
        <is>
          <t>RF-04</t>
        </is>
      </c>
      <c r="C172" s="6" t="inlineStr">
        <is>
          <t>Validación (dato inválido)</t>
        </is>
      </c>
      <c r="D172" s="6" t="inlineStr">
        <is>
          <t>Cerrar sesión — Registros sin enviar: 3 pendientes</t>
        </is>
      </c>
      <c r="E172" s="6" t="inlineStr">
        <is>
          <t>Muestra «Tiene N registros sin enviar. Se conservarán en este dispositivo. ¿Cerrar sesión?», no avanza y conserva lo escrito</t>
        </is>
      </c>
      <c r="F172" s="6" t="inlineStr">
        <is>
          <t>Aprobado</t>
        </is>
      </c>
      <c r="G172" s="6" t="inlineStr">
        <is>
          <t>Cerrar sesión con 3 pendientes: muestra «Tiene 3 registros sin enviar. Se conservarán en este dispositivo. ¿Cerrar sesión?», no cierra mientras no se confirme y conserva los datos</t>
        </is>
      </c>
    </row>
    <row r="173">
      <c r="A173" s="6" t="inlineStr">
        <is>
          <t>CP-V-21-OK</t>
        </is>
      </c>
      <c r="B173" s="6" t="inlineStr">
        <is>
          <t>RF-01</t>
        </is>
      </c>
      <c r="C173" s="6" t="inlineStr">
        <is>
          <t>Validación (dato válido)</t>
        </is>
      </c>
      <c r="D173" s="6" t="inlineStr">
        <is>
          <t>Servidor (comando crear_admin) — Segundo administrador: Primer administrador</t>
        </is>
      </c>
      <c r="E173" s="6" t="inlineStr">
        <is>
          <t>El sistema acepta el dato y continúa con el siguiente paso</t>
        </is>
      </c>
      <c r="F173" s="6" t="inlineStr">
        <is>
          <t>Aprobado</t>
        </is>
      </c>
      <c r="G173" s="6" t="inlineStr">
        <is>
          <t>Primer administrador creado (rol ADMIN)</t>
        </is>
      </c>
    </row>
    <row r="174">
      <c r="A174" s="6" t="inlineStr">
        <is>
          <t>CP-V-21-ERR</t>
        </is>
      </c>
      <c r="B174" s="6" t="inlineStr">
        <is>
          <t>RF-01</t>
        </is>
      </c>
      <c r="C174" s="6" t="inlineStr">
        <is>
          <t>Validación (dato inválido)</t>
        </is>
      </c>
      <c r="D174" s="6" t="inlineStr">
        <is>
          <t>Servidor (comando crear_admin) — Segundo administrador: Segundo administrador</t>
        </is>
      </c>
      <c r="E174" s="6" t="inlineStr">
        <is>
          <t>Muestra «Ya existe un administrador.», no avanza y conserva lo escrito</t>
        </is>
      </c>
      <c r="F174" s="6" t="inlineStr">
        <is>
          <t>Aprobado</t>
        </is>
      </c>
      <c r="G174" s="6" t="inlineStr">
        <is>
          <t>Segundo administrador: rechazado («Ya existe un administrador.»); sigue habiendo uno solo</t>
        </is>
      </c>
    </row>
    <row r="175">
      <c r="A175" s="6" t="inlineStr">
        <is>
          <t>CP-V-22-OK</t>
        </is>
      </c>
      <c r="B175" s="6" t="inlineStr">
        <is>
          <t>RF-12</t>
        </is>
      </c>
      <c r="C175" s="6" t="inlineStr">
        <is>
          <t>Validación (dato válido)</t>
        </is>
      </c>
      <c r="D175" s="6" t="inlineStr">
        <is>
          <t>Finca y ciclo — Nombre de finca y de lote (opcional): Lote El Mirador</t>
        </is>
      </c>
      <c r="E175" s="6" t="inlineStr">
        <is>
          <t>El sistema acepta el dato y continúa con el siguiente paso</t>
        </is>
      </c>
      <c r="F175" s="6" t="inlineStr">
        <is>
          <t>Aprobado</t>
        </is>
      </c>
      <c r="G175" s="6" t="inlineStr">
        <is>
          <t>Nombre de lote «Lote El Mirador»: ciclo aceptado</t>
        </is>
      </c>
    </row>
    <row r="176">
      <c r="A176" s="6" t="inlineStr">
        <is>
          <t>CP-V-22-ERR</t>
        </is>
      </c>
      <c r="B176" s="6" t="inlineStr">
        <is>
          <t>RF-12</t>
        </is>
      </c>
      <c r="C176" s="6" t="inlineStr">
        <is>
          <t>Validación (dato inválido)</t>
        </is>
      </c>
      <c r="D176" s="6" t="inlineStr">
        <is>
          <t>Finca y ciclo — Nombre de finca y de lote (opcional): 0</t>
        </is>
      </c>
      <c r="E176" s="6" t="inlineStr">
        <is>
          <t>Muestra «Escriba un nombre de 2 a 60 caracteres con letras.», no avanza y conserva lo escrito</t>
        </is>
      </c>
      <c r="F176" s="6" t="inlineStr">
        <is>
          <t>Aprobado</t>
        </is>
      </c>
      <c r="G176" s="6" t="inlineStr">
        <is>
          <t>Nombre de lote «0»: ciclo RECHAZADO V-22 «Escriba un nombre de 2 a 60 caracteres con letras.»</t>
        </is>
      </c>
    </row>
    <row r="177">
      <c r="A177" s="6" t="inlineStr">
        <is>
          <t>CP-V-24-OK</t>
        </is>
      </c>
      <c r="B177" s="6" t="inlineStr">
        <is>
          <t>RF-14</t>
        </is>
      </c>
      <c r="C177" s="6" t="inlineStr">
        <is>
          <t>Validación (dato válido)</t>
        </is>
      </c>
      <c r="D177" s="6" t="inlineStr">
        <is>
          <t>Ciclo — Área bruta: 1,0</t>
        </is>
      </c>
      <c r="E177" s="6" t="inlineStr">
        <is>
          <t>El sistema acepta el dato y continúa con el siguiente paso</t>
        </is>
      </c>
      <c r="F177" s="6" t="inlineStr">
        <is>
          <t>Aprobado</t>
        </is>
      </c>
      <c r="G177" s="6" t="inlineStr">
        <is>
          <t>Área bruta 1,0 ha: aceptada</t>
        </is>
      </c>
    </row>
    <row r="178">
      <c r="A178" s="6" t="inlineStr">
        <is>
          <t>CP-V-24-ERR</t>
        </is>
      </c>
      <c r="B178" s="6" t="inlineStr">
        <is>
          <t>RF-14</t>
        </is>
      </c>
      <c r="C178" s="6" t="inlineStr">
        <is>
          <t>Validación (dato inválido)</t>
        </is>
      </c>
      <c r="D178" s="6" t="inlineStr">
        <is>
          <t>Ciclo — Área bruta: 10.000,0001</t>
        </is>
      </c>
      <c r="E178" s="6" t="inlineStr">
        <is>
          <t>Muestra «El área debe estar entre 0,0001 y 10.000 hectáreas.», no avanza y conserva lo escrito</t>
        </is>
      </c>
      <c r="F178" s="6" t="inlineStr">
        <is>
          <t>Aprobado</t>
        </is>
      </c>
      <c r="G178" s="6" t="inlineStr">
        <is>
          <t>Área bruta 10.000,0001 ha: RECHAZADO V-24 «El área debe estar entre 0,0001 y 10.000 hectáreas.»</t>
        </is>
      </c>
    </row>
    <row r="179">
      <c r="A179" s="6" t="inlineStr">
        <is>
          <t>CP-V-25-OK</t>
        </is>
      </c>
      <c r="B179" s="6" t="inlineStr">
        <is>
          <t>RF-14</t>
        </is>
      </c>
      <c r="C179" s="6" t="inlineStr">
        <is>
          <t>Validación (dato válido)</t>
        </is>
      </c>
      <c r="D179" s="6" t="inlineStr">
        <is>
          <t>Ciclo — Pendiente: 15</t>
        </is>
      </c>
      <c r="E179" s="6" t="inlineStr">
        <is>
          <t>El sistema acepta el dato y continúa con el siguiente paso</t>
        </is>
      </c>
      <c r="F179" s="6" t="inlineStr">
        <is>
          <t>Aprobado</t>
        </is>
      </c>
      <c r="G179" s="6" t="inlineStr">
        <is>
          <t>Pendiente 15 %: aceptada</t>
        </is>
      </c>
    </row>
    <row r="180">
      <c r="A180" s="6" t="inlineStr">
        <is>
          <t>CP-V-25-ERR</t>
        </is>
      </c>
      <c r="B180" s="6" t="inlineStr">
        <is>
          <t>RF-14</t>
        </is>
      </c>
      <c r="C180" s="6" t="inlineStr">
        <is>
          <t>Validación (dato inválido)</t>
        </is>
      </c>
      <c r="D180" s="6" t="inlineStr">
        <is>
          <t>Ciclo — Pendiente: 101</t>
        </is>
      </c>
      <c r="E180" s="6" t="inlineStr">
        <is>
          <t>Muestra «La pendiente debe estar entre 0 y 100 %.», no avanza y conserva lo escrito</t>
        </is>
      </c>
      <c r="F180" s="6" t="inlineStr">
        <is>
          <t>Aprobado</t>
        </is>
      </c>
      <c r="G180" s="6" t="inlineStr">
        <is>
          <t>Pendiente 101 %: RECHAZADO V-25 «La pendiente debe estar entre 0 y 100 %.»</t>
        </is>
      </c>
    </row>
    <row r="181">
      <c r="A181" s="6" t="inlineStr">
        <is>
          <t>CP-V-26-OK</t>
        </is>
      </c>
      <c r="B181" s="6" t="inlineStr">
        <is>
          <t>RF-13</t>
        </is>
      </c>
      <c r="C181" s="6" t="inlineStr">
        <is>
          <t>Validación (dato válido)</t>
        </is>
      </c>
      <c r="D181" s="6" t="inlineStr">
        <is>
          <t>Ciclo — Área no sembrable: 0,1 ha con bruta 1,0</t>
        </is>
      </c>
      <c r="E181" s="6" t="inlineStr">
        <is>
          <t>El sistema acepta el dato y continúa con el siguiente paso</t>
        </is>
      </c>
      <c r="F181" s="6" t="inlineStr">
        <is>
          <t>Aprobado</t>
        </is>
      </c>
      <c r="G181" s="6" t="inlineStr">
        <is>
          <t>No sembrable 0,1 ha con bruta 1,0 ha: aceptada</t>
        </is>
      </c>
    </row>
    <row r="182">
      <c r="A182" s="6" t="inlineStr">
        <is>
          <t>CP-V-26-ERR</t>
        </is>
      </c>
      <c r="B182" s="6" t="inlineStr">
        <is>
          <t>RF-13</t>
        </is>
      </c>
      <c r="C182" s="6" t="inlineStr">
        <is>
          <t>Validación (dato inválido)</t>
        </is>
      </c>
      <c r="D182" s="6" t="inlineStr">
        <is>
          <t>Ciclo — Área no sembrable: 1,0 ha con bruta 1,0</t>
        </is>
      </c>
      <c r="E182" s="6" t="inlineStr">
        <is>
          <t>Muestra «El área no sembrable debe ser menor que el área bruta.», no avanza y conserva lo escrito</t>
        </is>
      </c>
      <c r="F182" s="6" t="inlineStr">
        <is>
          <t>Aprobado</t>
        </is>
      </c>
      <c r="G182" s="6" t="inlineStr">
        <is>
          <t>No sembrable 1,0 ha con bruta 1,0 ha: RECHAZADO V-26 «El área no sembrable debe ser menor que el área bruta.»</t>
        </is>
      </c>
    </row>
    <row r="183">
      <c r="A183" s="6" t="inlineStr">
        <is>
          <t>CP-V-27-OK</t>
        </is>
      </c>
      <c r="B183" s="6" t="inlineStr">
        <is>
          <t>RF-14</t>
        </is>
      </c>
      <c r="C183" s="6" t="inlineStr">
        <is>
          <t>Validación (dato válido)</t>
        </is>
      </c>
      <c r="D183" s="6" t="inlineStr">
        <is>
          <t>Ciclo — Cultivo obligatorio: Café</t>
        </is>
      </c>
      <c r="E183" s="6" t="inlineStr">
        <is>
          <t>El sistema acepta el dato y continúa con el siguiente paso</t>
        </is>
      </c>
      <c r="F183" s="6" t="inlineStr">
        <is>
          <t>Aprobado</t>
        </is>
      </c>
      <c r="G183" s="6" t="inlineStr">
        <is>
          <t>Cultivo Café del catálogo: aceptado</t>
        </is>
      </c>
    </row>
    <row r="184">
      <c r="A184" s="6" t="inlineStr">
        <is>
          <t>CP-V-27-ERR</t>
        </is>
      </c>
      <c r="B184" s="6" t="inlineStr">
        <is>
          <t>RF-14</t>
        </is>
      </c>
      <c r="C184" s="6" t="inlineStr">
        <is>
          <t>Validación (dato inválido)</t>
        </is>
      </c>
      <c r="D184" s="6" t="inlineStr">
        <is>
          <t>Ciclo — Cultivo obligatorio: Sin cultivo</t>
        </is>
      </c>
      <c r="E184" s="6" t="inlineStr">
        <is>
          <t>Muestra «Seleccione un cultivo.», no avanza y conserva lo escrito</t>
        </is>
      </c>
      <c r="F184" s="6" t="inlineStr">
        <is>
          <t>Aprobado</t>
        </is>
      </c>
      <c r="G184" s="6" t="inlineStr">
        <is>
          <t>Ciclo sin cultivo: RECHAZADO V-27 «Seleccione un cultivo.»</t>
        </is>
      </c>
    </row>
    <row r="185">
      <c r="A185" s="6" t="inlineStr">
        <is>
          <t>CP-V-28-OK</t>
        </is>
      </c>
      <c r="B185" s="6" t="inlineStr">
        <is>
          <t>RF-14</t>
        </is>
      </c>
      <c r="C185" s="6" t="inlineStr">
        <is>
          <t>Validación (dato válido)</t>
        </is>
      </c>
      <c r="D185" s="6" t="inlineStr">
        <is>
          <t>Ciclo, gastos, jornales e ingresos — Formato de fecha: 15/11/2026</t>
        </is>
      </c>
      <c r="E185" s="6" t="inlineStr">
        <is>
          <t>El sistema acepta el dato y continúa con el siguiente paso</t>
        </is>
      </c>
      <c r="F185" s="6" t="inlineStr">
        <is>
          <t>Aprobado</t>
        </is>
      </c>
      <c r="G185" s="6" t="inlineStr">
        <is>
          <t>Fecha 15/11/2026 (2026-11-15) como siembra: aceptada</t>
        </is>
      </c>
    </row>
    <row r="186">
      <c r="A186" s="6" t="inlineStr">
        <is>
          <t>CP-V-28-ERR</t>
        </is>
      </c>
      <c r="B186" s="6" t="inlineStr">
        <is>
          <t>RF-14</t>
        </is>
      </c>
      <c r="C186" s="6" t="inlineStr">
        <is>
          <t>Validación (dato inválido)</t>
        </is>
      </c>
      <c r="D186" s="6" t="inlineStr">
        <is>
          <t>Ciclo, gastos, jornales e ingresos — Formato de fecha: 31/02/2026</t>
        </is>
      </c>
      <c r="E186" s="6" t="inlineStr">
        <is>
          <t>Muestra «Escriba una fecha válida (día/mes/año).», no avanza y conserva lo escrito</t>
        </is>
      </c>
      <c r="F186" s="6" t="inlineStr">
        <is>
          <t>Aprobado</t>
        </is>
      </c>
      <c r="G186" s="6" t="inlineStr">
        <is>
          <t>Fecha 31/02/2026: RECHAZADO V-28 «Escriba una fecha válida (día/mes/año).»</t>
        </is>
      </c>
    </row>
    <row r="187">
      <c r="A187" s="6" t="inlineStr">
        <is>
          <t>CP-V-29-OK</t>
        </is>
      </c>
      <c r="B187" s="6" t="inlineStr">
        <is>
          <t>RF-15</t>
        </is>
      </c>
      <c r="C187" s="6" t="inlineStr">
        <is>
          <t>Validación (dato válido)</t>
        </is>
      </c>
      <c r="D187" s="6" t="inlineStr">
        <is>
          <t>Ciclo — Fecha de cierre: Igual a la siembra (con siembra de hoy o anterior)</t>
        </is>
      </c>
      <c r="E187" s="6" t="inlineStr">
        <is>
          <t>El sistema acepta el dato y continúa con el siguiente paso</t>
        </is>
      </c>
      <c r="F187" s="6" t="inlineStr">
        <is>
          <t>Aprobado</t>
        </is>
      </c>
      <c r="G187" s="6" t="inlineStr">
        <is>
          <t>Cierre igual a la siembra (2026-03-15): aceptado</t>
        </is>
      </c>
    </row>
    <row r="188">
      <c r="A188" s="6" t="inlineStr">
        <is>
          <t>CP-V-29-ERR</t>
        </is>
      </c>
      <c r="B188" s="6" t="inlineStr">
        <is>
          <t>RF-15</t>
        </is>
      </c>
      <c r="C188" s="6" t="inlineStr">
        <is>
          <t>Validación (dato inválido)</t>
        </is>
      </c>
      <c r="D188" s="6" t="inlineStr">
        <is>
          <t>Ciclo — Fecha de cierre: Un día antes de la siembra</t>
        </is>
      </c>
      <c r="E188" s="6" t="inlineStr">
        <is>
          <t>Muestra «La fecha de cierre no puede ser anterior a la de siembra ni posterior a hoy.», no avanza y conserva lo escrito</t>
        </is>
      </c>
      <c r="F188" s="6" t="inlineStr">
        <is>
          <t>Aprobado</t>
        </is>
      </c>
      <c r="G188" s="6" t="inlineStr">
        <is>
          <t>Cierre un día antes de la siembra: RECHAZADO V-29 «La fecha de cierre no puede ser anterior a la de siembra ni posterior a hoy.»</t>
        </is>
      </c>
    </row>
    <row r="189">
      <c r="A189" s="6" t="inlineStr">
        <is>
          <t>CP-V-30-OK</t>
        </is>
      </c>
      <c r="B189" s="6" t="inlineStr">
        <is>
          <t>RF-15</t>
        </is>
      </c>
      <c r="C189" s="6" t="inlineStr">
        <is>
          <t>Validación (dato válido)</t>
        </is>
      </c>
      <c r="D189" s="6" t="inlineStr">
        <is>
          <t>Ciclo — Cierre sin ingresos: Ciclo con ingresos</t>
        </is>
      </c>
      <c r="E189" s="6" t="inlineStr">
        <is>
          <t>El sistema acepta el dato y continúa con el siguiente paso</t>
        </is>
      </c>
      <c r="F189" s="6" t="inlineStr">
        <is>
          <t>Aprobado</t>
        </is>
      </c>
      <c r="G189" s="6" t="inlineStr">
        <is>
          <t>Ciclo con ingresos: cierra directamente, sin pregunta</t>
        </is>
      </c>
    </row>
    <row r="190">
      <c r="A190" s="6" t="inlineStr">
        <is>
          <t>CP-V-30-ERR</t>
        </is>
      </c>
      <c r="B190" s="6" t="inlineStr">
        <is>
          <t>RF-15</t>
        </is>
      </c>
      <c r="C190" s="6" t="inlineStr">
        <is>
          <t>Validación (dato inválido)</t>
        </is>
      </c>
      <c r="D190" s="6" t="inlineStr">
        <is>
          <t>Ciclo — Cierre sin ingresos: Ciclo sin ingresos</t>
        </is>
      </c>
      <c r="E190" s="6" t="inlineStr">
        <is>
          <t>Muestra «Este ciclo no tiene ingresos. ¿Desea cerrarlo de todos modos?», no avanza y conserva lo escrito</t>
        </is>
      </c>
      <c r="F190" s="6" t="inlineStr">
        <is>
          <t>Aprobado</t>
        </is>
      </c>
      <c r="G190" s="6" t="inlineStr">
        <is>
          <t>Ciclo sin ingresos: muestra «Este ciclo no tiene ingresos. ¿Desea cerrarlo de todos modos?», no avanza y conserva la fecha escrita</t>
        </is>
      </c>
    </row>
    <row r="191">
      <c r="A191" s="6" t="inlineStr">
        <is>
          <t>CP-V-31-OK</t>
        </is>
      </c>
      <c r="B191" s="6" t="inlineStr">
        <is>
          <t>RF-15</t>
        </is>
      </c>
      <c r="C191" s="6" t="inlineStr">
        <is>
          <t>Validación (dato válido)</t>
        </is>
      </c>
      <c r="D191" s="6" t="inlineStr">
        <is>
          <t>Ciclo — Registro en ciclo cerrado: Ciclo activo</t>
        </is>
      </c>
      <c r="E191" s="6" t="inlineStr">
        <is>
          <t>El sistema acepta el dato y continúa con el siguiente paso</t>
        </is>
      </c>
      <c r="F191" s="6" t="inlineStr">
        <is>
          <t>Aprobado</t>
        </is>
      </c>
      <c r="G191" s="6" t="inlineStr">
        <is>
          <t>Gasto en un ciclo ACTIVO: aceptado</t>
        </is>
      </c>
    </row>
    <row r="192">
      <c r="A192" s="6" t="inlineStr">
        <is>
          <t>CP-V-31-ERR</t>
        </is>
      </c>
      <c r="B192" s="6" t="inlineStr">
        <is>
          <t>RF-15</t>
        </is>
      </c>
      <c r="C192" s="6" t="inlineStr">
        <is>
          <t>Validación (dato inválido)</t>
        </is>
      </c>
      <c r="D192" s="6" t="inlineStr">
        <is>
          <t>Ciclo — Registro en ciclo cerrado: Ciclo cerrado</t>
        </is>
      </c>
      <c r="E192" s="6" t="inlineStr">
        <is>
          <t>Muestra «Este ciclo está cerrado y no admite nuevos registros.», no avanza y conserva lo escrito</t>
        </is>
      </c>
      <c r="F192" s="6" t="inlineStr">
        <is>
          <t>Aprobado</t>
        </is>
      </c>
      <c r="G192" s="6" t="inlineStr">
        <is>
          <t>Gasto en un ciclo CERRADO: RECHAZADO V-31 «Este ciclo está cerrado y no admite nuevos registros.»</t>
        </is>
      </c>
    </row>
    <row r="193">
      <c r="A193" s="6" t="inlineStr">
        <is>
          <t>CP-V-32-OK</t>
        </is>
      </c>
      <c r="B193" s="6" t="inlineStr">
        <is>
          <t>RF-18</t>
        </is>
      </c>
      <c r="C193" s="6" t="inlineStr">
        <is>
          <t>Validación (dato válido)</t>
        </is>
      </c>
      <c r="D193" s="6" t="inlineStr">
        <is>
          <t>Cálculo de matas — Marco de siembra: Cuadrado</t>
        </is>
      </c>
      <c r="E193" s="6" t="inlineStr">
        <is>
          <t>El sistema acepta el dato y continúa con el siguiente paso</t>
        </is>
      </c>
      <c r="F193" s="6" t="inlineStr">
        <is>
          <t>Aprobado</t>
        </is>
      </c>
      <c r="G193" s="6" t="inlineStr">
        <is>
          <t>Marco «cuadrado»: aceptado</t>
        </is>
      </c>
    </row>
    <row r="194">
      <c r="A194" s="6" t="inlineStr">
        <is>
          <t>CP-V-32-ERR</t>
        </is>
      </c>
      <c r="B194" s="6" t="inlineStr">
        <is>
          <t>RF-18</t>
        </is>
      </c>
      <c r="C194" s="6" t="inlineStr">
        <is>
          <t>Validación (dato inválido)</t>
        </is>
      </c>
      <c r="D194" s="6" t="inlineStr">
        <is>
          <t>Cálculo de matas — Marco de siembra: Sin elegir</t>
        </is>
      </c>
      <c r="E194" s="6" t="inlineStr">
        <is>
          <t>Muestra «Elija el marco de siembra.», no avanza y conserva lo escrito</t>
        </is>
      </c>
      <c r="F194" s="6" t="inlineStr">
        <is>
          <t>Aprobado</t>
        </is>
      </c>
      <c r="G194" s="6" t="inlineStr">
        <is>
          <t>Marco «hexagonal» (no permitido): RECHAZADO V-32 «Elija el marco de siembra.». «Sin elegir» en la pantalla se prueba en e2e_plan.cjs</t>
        </is>
      </c>
    </row>
    <row r="195">
      <c r="A195" s="6" t="inlineStr">
        <is>
          <t>CP-V-33-OK</t>
        </is>
      </c>
      <c r="B195" s="6" t="inlineStr">
        <is>
          <t>RF-18</t>
        </is>
      </c>
      <c r="C195" s="6" t="inlineStr">
        <is>
          <t>Validación (dato válido)</t>
        </is>
      </c>
      <c r="D195" s="6" t="inlineStr">
        <is>
          <t>Cálculo de matas — Distancias: 1,5</t>
        </is>
      </c>
      <c r="E195" s="6" t="inlineStr">
        <is>
          <t>El sistema acepta el dato y continúa con el siguiente paso</t>
        </is>
      </c>
      <c r="F195" s="6" t="inlineStr">
        <is>
          <t>Aprobado</t>
        </is>
      </c>
      <c r="G195" s="6" t="inlineStr">
        <is>
          <t>Distancia 1,5 m: aceptada</t>
        </is>
      </c>
    </row>
    <row r="196">
      <c r="A196" s="6" t="inlineStr">
        <is>
          <t>CP-V-33-ERR</t>
        </is>
      </c>
      <c r="B196" s="6" t="inlineStr">
        <is>
          <t>RF-18</t>
        </is>
      </c>
      <c r="C196" s="6" t="inlineStr">
        <is>
          <t>Validación (dato inválido)</t>
        </is>
      </c>
      <c r="D196" s="6" t="inlineStr">
        <is>
          <t>Cálculo de matas — Distancias: 0</t>
        </is>
      </c>
      <c r="E196" s="6" t="inlineStr">
        <is>
          <t>Muestra «La distancia debe estar entre 0,01 y 10 metros.», no avanza y conserva lo escrito</t>
        </is>
      </c>
      <c r="F196" s="6" t="inlineStr">
        <is>
          <t>Aprobado</t>
        </is>
      </c>
      <c r="G196" s="6" t="inlineStr">
        <is>
          <t>Distancia 0 m: RECHAZADO V-33 «La distancia debe estar entre 0,01 y 10 metros.»</t>
        </is>
      </c>
    </row>
    <row r="197">
      <c r="A197" s="6" t="inlineStr">
        <is>
          <t>CP-V-34-OK</t>
        </is>
      </c>
      <c r="B197" s="6" t="inlineStr">
        <is>
          <t>RF-18</t>
        </is>
      </c>
      <c r="C197" s="6" t="inlineStr">
        <is>
          <t>Validación (dato válido)</t>
        </is>
      </c>
      <c r="D197" s="6" t="inlineStr">
        <is>
          <t>Cálculo de matas — Distancia fuera del rango del cultivo: Dentro del rango</t>
        </is>
      </c>
      <c r="E197" s="6" t="inlineStr">
        <is>
          <t>El sistema acepta el dato y continúa con el siguiente paso</t>
        </is>
      </c>
      <c r="F197" s="6" t="inlineStr">
        <is>
          <t>Aprobado</t>
        </is>
      </c>
      <c r="G197" s="6" t="inlineStr">
        <is>
          <t>Distancia 1,5 m dentro del rango del café (1,0 a 2,0 m): ('ok', 4444.44, None), sin advertencia</t>
        </is>
      </c>
    </row>
    <row r="198">
      <c r="A198" s="6" t="inlineStr">
        <is>
          <t>CP-V-34-ERR</t>
        </is>
      </c>
      <c r="B198" s="6" t="inlineStr">
        <is>
          <t>RF-18</t>
        </is>
      </c>
      <c r="C198" s="6" t="inlineStr">
        <is>
          <t>Validación (dato inválido)</t>
        </is>
      </c>
      <c r="D198" s="6" t="inlineStr">
        <is>
          <t>Cálculo de matas — Distancia fuera del rango del cultivo: Menor que el mínimo del catálogo</t>
        </is>
      </c>
      <c r="E198" s="6" t="inlineStr">
        <is>
          <t>Muestra «Advertencia: la distancia está fuera del rango recomendado (mín.–máx. m). Puede continuar, pero la producción puede verse afectada.», no avanza y conserva lo escrito</t>
        </is>
      </c>
      <c r="F198" s="6" t="inlineStr">
        <is>
          <t>Aprobado</t>
        </is>
      </c>
      <c r="G198" s="6" t="inlineStr">
        <is>
          <t>Distancia 0,5 m (menor que el mínimo del café): el cálculo no se bloquea; devuelve ('ok', 40000.0, 'V-34') (advertencia V-34 «Advertencia: la distancia está fuera del rango recomendado (mín.–máx. m). Puede continuar, pero la producción puede verse afectada.»)</t>
        </is>
      </c>
    </row>
    <row r="199">
      <c r="A199" s="6" t="inlineStr">
        <is>
          <t>CP-V-35-OK</t>
        </is>
      </c>
      <c r="B199" s="6" t="inlineStr">
        <is>
          <t>RF-23</t>
        </is>
      </c>
      <c r="C199" s="6" t="inlineStr">
        <is>
          <t>Validación (dato válido)</t>
        </is>
      </c>
      <c r="D199" s="6" t="inlineStr">
        <is>
          <t>Gasto — Valor: 150000</t>
        </is>
      </c>
      <c r="E199" s="6" t="inlineStr">
        <is>
          <t>El sistema acepta el dato y continúa con el siguiente paso</t>
        </is>
      </c>
      <c r="F199" s="6" t="inlineStr">
        <is>
          <t>Aprobado</t>
        </is>
      </c>
      <c r="G199" s="6" t="inlineStr">
        <is>
          <t>Valor $150.000: gasto aceptado</t>
        </is>
      </c>
    </row>
    <row r="200">
      <c r="A200" s="6" t="inlineStr">
        <is>
          <t>CP-V-35-ERR</t>
        </is>
      </c>
      <c r="B200" s="6" t="inlineStr">
        <is>
          <t>RF-23</t>
        </is>
      </c>
      <c r="C200" s="6" t="inlineStr">
        <is>
          <t>Validación (dato inválido)</t>
        </is>
      </c>
      <c r="D200" s="6" t="inlineStr">
        <is>
          <t>Gasto — Valor: 50000001</t>
        </is>
      </c>
      <c r="E200" s="6" t="inlineStr">
        <is>
          <t>Muestra «El valor debe estar entre $1 y $50.000.000.», no avanza y conserva lo escrito</t>
        </is>
      </c>
      <c r="F200" s="6" t="inlineStr">
        <is>
          <t>Aprobado</t>
        </is>
      </c>
      <c r="G200" s="6" t="inlineStr">
        <is>
          <t>Valor $50.000.001: RECHAZADO V-35 «El valor debe estar entre $1 y $50.000.000.»</t>
        </is>
      </c>
    </row>
    <row r="201">
      <c r="A201" s="6" t="inlineStr">
        <is>
          <t>CP-V-36-OK</t>
        </is>
      </c>
      <c r="B201" s="6" t="inlineStr">
        <is>
          <t>RF-23</t>
        </is>
      </c>
      <c r="C201" s="6" t="inlineStr">
        <is>
          <t>Validación (dato válido)</t>
        </is>
      </c>
      <c r="D201" s="6" t="inlineStr">
        <is>
          <t>Gasto — Formato del valor: 150000</t>
        </is>
      </c>
      <c r="E201" s="6" t="inlineStr">
        <is>
          <t>El sistema acepta el dato y continúa con el siguiente paso</t>
        </is>
      </c>
      <c r="F201" s="6" t="inlineStr">
        <is>
          <t>Aprobado</t>
        </is>
      </c>
      <c r="G201" s="6" t="inlineStr">
        <is>
          <t>Valor 150000 (solo dígitos): aceptado</t>
        </is>
      </c>
    </row>
    <row r="202">
      <c r="A202" s="6" t="inlineStr">
        <is>
          <t>CP-V-36-ERR</t>
        </is>
      </c>
      <c r="B202" s="6" t="inlineStr">
        <is>
          <t>RF-23</t>
        </is>
      </c>
      <c r="C202" s="6" t="inlineStr">
        <is>
          <t>Validación (dato inválido)</t>
        </is>
      </c>
      <c r="D202" s="6" t="inlineStr">
        <is>
          <t>Gasto — Formato del valor: 1e5</t>
        </is>
      </c>
      <c r="E202" s="6" t="inlineStr">
        <is>
          <t>Muestra «Escriba solo números.», no avanza y conserva lo escrito</t>
        </is>
      </c>
      <c r="F202" s="6" t="inlineStr">
        <is>
          <t>Aprobado</t>
        </is>
      </c>
      <c r="G202" s="6" t="inlineStr">
        <is>
          <t>Valor «1e5»: RECHAZADO V-36 «Escriba solo números.»</t>
        </is>
      </c>
    </row>
    <row r="203">
      <c r="A203" s="6" t="inlineStr">
        <is>
          <t>CP-V-37-OK</t>
        </is>
      </c>
      <c r="B203" s="6" t="inlineStr">
        <is>
          <t>RF-23</t>
        </is>
      </c>
      <c r="C203" s="6" t="inlineStr">
        <is>
          <t>Validación (dato válido)</t>
        </is>
      </c>
      <c r="D203" s="6" t="inlineStr">
        <is>
          <t>Gasto — Categoría: Abonos</t>
        </is>
      </c>
      <c r="E203" s="6" t="inlineStr">
        <is>
          <t>El sistema acepta el dato y continúa con el siguiente paso</t>
        </is>
      </c>
      <c r="F203" s="6" t="inlineStr">
        <is>
          <t>Aprobado</t>
        </is>
      </c>
      <c r="G203" s="6" t="inlineStr">
        <is>
          <t>Categoría «abonos»: aceptada</t>
        </is>
      </c>
    </row>
    <row r="204">
      <c r="A204" s="6" t="inlineStr">
        <is>
          <t>CP-V-37-ERR</t>
        </is>
      </c>
      <c r="B204" s="6" t="inlineStr">
        <is>
          <t>RF-23</t>
        </is>
      </c>
      <c r="C204" s="6" t="inlineStr">
        <is>
          <t>Validación (dato inválido)</t>
        </is>
      </c>
      <c r="D204" s="6" t="inlineStr">
        <is>
          <t>Gasto — Categoría: Sin elegir</t>
        </is>
      </c>
      <c r="E204" s="6" t="inlineStr">
        <is>
          <t>Muestra «Elija una categoría.», no avanza y conserva lo escrito</t>
        </is>
      </c>
      <c r="F204" s="6" t="inlineStr">
        <is>
          <t>Aprobado</t>
        </is>
      </c>
      <c r="G204" s="6" t="inlineStr">
        <is>
          <t>Categoría sin elegir: RECHAZADO V-37 «Elija una categoría.»</t>
        </is>
      </c>
    </row>
    <row r="205">
      <c r="A205" s="6" t="inlineStr">
        <is>
          <t>CP-V-38-OK</t>
        </is>
      </c>
      <c r="B205" s="6" t="inlineStr">
        <is>
          <t>RF-23</t>
        </is>
      </c>
      <c r="C205" s="6" t="inlineStr">
        <is>
          <t>Validación (dato válido)</t>
        </is>
      </c>
      <c r="D205" s="6" t="inlineStr">
        <is>
          <t>Gasto — Observaciones: Abono para el ciclo 1</t>
        </is>
      </c>
      <c r="E205" s="6" t="inlineStr">
        <is>
          <t>El sistema acepta el dato y continúa con el siguiente paso</t>
        </is>
      </c>
      <c r="F205" s="6" t="inlineStr">
        <is>
          <t>Aprobado</t>
        </is>
      </c>
      <c r="G205" s="6" t="inlineStr">
        <is>
          <t>Observaciones «Abono para el ciclo 1»: aceptadas</t>
        </is>
      </c>
    </row>
    <row r="206">
      <c r="A206" s="6" t="inlineStr">
        <is>
          <t>CP-V-38-ERR</t>
        </is>
      </c>
      <c r="B206" s="6" t="inlineStr">
        <is>
          <t>RF-23</t>
        </is>
      </c>
      <c r="C206" s="6" t="inlineStr">
        <is>
          <t>Validación (dato inválido)</t>
        </is>
      </c>
      <c r="D206" s="6" t="inlineStr">
        <is>
          <t>Gasto — Observaciones: Texto de 151 caracteres</t>
        </is>
      </c>
      <c r="E206" s="6" t="inlineStr">
        <is>
          <t>Muestra «Escriba máximo 150 caracteres, solo con letras, números y los signos . , -», no avanza y conserva lo escrito</t>
        </is>
      </c>
      <c r="F206" s="6" t="inlineStr">
        <is>
          <t>Aprobado</t>
        </is>
      </c>
      <c r="G206" s="6" t="inlineStr">
        <is>
          <t>Observaciones de 151 caracteres: RECHAZADO V-38 «Escriba máximo 150 caracteres, solo con letras, números y los signos . , -»</t>
        </is>
      </c>
    </row>
    <row r="207">
      <c r="A207" s="6" t="inlineStr">
        <is>
          <t>CP-V-39-OK</t>
        </is>
      </c>
      <c r="B207" s="6" t="inlineStr">
        <is>
          <t>RF-24</t>
        </is>
      </c>
      <c r="C207" s="6" t="inlineStr">
        <is>
          <t>Validación (dato válido)</t>
        </is>
      </c>
      <c r="D207" s="6" t="inlineStr">
        <is>
          <t>Jornales — Número de jornales: 1,5</t>
        </is>
      </c>
      <c r="E207" s="6" t="inlineStr">
        <is>
          <t>El sistema acepta el dato y continúa con el siguiente paso</t>
        </is>
      </c>
      <c r="F207" s="6" t="inlineStr">
        <is>
          <t>Aprobado</t>
        </is>
      </c>
      <c r="G207" s="6" t="inlineStr">
        <is>
          <t>Jornales 1,5: aceptado</t>
        </is>
      </c>
    </row>
    <row r="208">
      <c r="A208" s="6" t="inlineStr">
        <is>
          <t>CP-V-39-ERR</t>
        </is>
      </c>
      <c r="B208" s="6" t="inlineStr">
        <is>
          <t>RF-24</t>
        </is>
      </c>
      <c r="C208" s="6" t="inlineStr">
        <is>
          <t>Validación (dato inválido)</t>
        </is>
      </c>
      <c r="D208" s="6" t="inlineStr">
        <is>
          <t>Jornales — Número de jornales: 1,25</t>
        </is>
      </c>
      <c r="E208" s="6" t="inlineStr">
        <is>
          <t>Muestra «Los jornales deben estar entre 0,5 y 999, de medio en medio.», no avanza y conserva lo escrito</t>
        </is>
      </c>
      <c r="F208" s="6" t="inlineStr">
        <is>
          <t>Aprobado</t>
        </is>
      </c>
      <c r="G208" s="6" t="inlineStr">
        <is>
          <t>Jornales 1,25: RECHAZADO V-39 «Los jornales deben estar entre 0,5 y 999, de medio en medio.»</t>
        </is>
      </c>
    </row>
    <row r="209">
      <c r="A209" s="6" t="inlineStr">
        <is>
          <t>CP-V-40-OK</t>
        </is>
      </c>
      <c r="B209" s="6" t="inlineStr">
        <is>
          <t>RF-24</t>
        </is>
      </c>
      <c r="C209" s="6" t="inlineStr">
        <is>
          <t>Validación (dato válido)</t>
        </is>
      </c>
      <c r="D209" s="6" t="inlineStr">
        <is>
          <t>Jornales — Valor diario: 60000</t>
        </is>
      </c>
      <c r="E209" s="6" t="inlineStr">
        <is>
          <t>El sistema acepta el dato y continúa con el siguiente paso</t>
        </is>
      </c>
      <c r="F209" s="6" t="inlineStr">
        <is>
          <t>Aprobado</t>
        </is>
      </c>
      <c r="G209" s="6" t="inlineStr">
        <is>
          <t>Valor diario $60.000: aceptado</t>
        </is>
      </c>
    </row>
    <row r="210">
      <c r="A210" s="6" t="inlineStr">
        <is>
          <t>CP-V-40-ERR</t>
        </is>
      </c>
      <c r="B210" s="6" t="inlineStr">
        <is>
          <t>RF-24</t>
        </is>
      </c>
      <c r="C210" s="6" t="inlineStr">
        <is>
          <t>Validación (dato inválido)</t>
        </is>
      </c>
      <c r="D210" s="6" t="inlineStr">
        <is>
          <t>Jornales — Valor diario: 0</t>
        </is>
      </c>
      <c r="E210" s="6" t="inlineStr">
        <is>
          <t>Muestra «El valor del jornal debe ser mayor que $0.», no avanza y conserva lo escrito</t>
        </is>
      </c>
      <c r="F210" s="6" t="inlineStr">
        <is>
          <t>Aprobado</t>
        </is>
      </c>
      <c r="G210" s="6" t="inlineStr">
        <is>
          <t>Valor diario $0: RECHAZADO V-40 «El valor del jornal debe ser mayor que $0.»</t>
        </is>
      </c>
    </row>
    <row r="211">
      <c r="A211" s="6" t="inlineStr">
        <is>
          <t>CP-V-41-OK</t>
        </is>
      </c>
      <c r="B211" s="6" t="inlineStr">
        <is>
          <t>RF-25</t>
        </is>
      </c>
      <c r="C211" s="6" t="inlineStr">
        <is>
          <t>Validación (dato válido)</t>
        </is>
      </c>
      <c r="D211" s="6" t="inlineStr">
        <is>
          <t>Ingreso — Cantidad: 25</t>
        </is>
      </c>
      <c r="E211" s="6" t="inlineStr">
        <is>
          <t>El sistema acepta el dato y continúa con el siguiente paso</t>
        </is>
      </c>
      <c r="F211" s="6" t="inlineStr">
        <is>
          <t>Aprobado</t>
        </is>
      </c>
      <c r="G211" s="6" t="inlineStr">
        <is>
          <t>Cantidad 25: ingreso aceptado</t>
        </is>
      </c>
    </row>
    <row r="212">
      <c r="A212" s="6" t="inlineStr">
        <is>
          <t>CP-V-41-ERR</t>
        </is>
      </c>
      <c r="B212" s="6" t="inlineStr">
        <is>
          <t>RF-25</t>
        </is>
      </c>
      <c r="C212" s="6" t="inlineStr">
        <is>
          <t>Validación (dato inválido)</t>
        </is>
      </c>
      <c r="D212" s="6" t="inlineStr">
        <is>
          <t>Ingreso — Cantidad: 10001</t>
        </is>
      </c>
      <c r="E212" s="6" t="inlineStr">
        <is>
          <t>Muestra «La cantidad debe estar entre 0,1 y 10.000.», no avanza y conserva lo escrito</t>
        </is>
      </c>
      <c r="F212" s="6" t="inlineStr">
        <is>
          <t>Aprobado</t>
        </is>
      </c>
      <c r="G212" s="6" t="inlineStr">
        <is>
          <t>Cantidad 10.001: RECHAZADO V-41 «La cantidad debe estar entre 0,1 y 10.000.»</t>
        </is>
      </c>
    </row>
    <row r="213">
      <c r="A213" s="6" t="inlineStr">
        <is>
          <t>CP-V-42-OK</t>
        </is>
      </c>
      <c r="B213" s="6" t="inlineStr">
        <is>
          <t>RF-25</t>
        </is>
      </c>
      <c r="C213" s="6" t="inlineStr">
        <is>
          <t>Validación (dato válido)</t>
        </is>
      </c>
      <c r="D213" s="6" t="inlineStr">
        <is>
          <t>Ingreso — Precio unitario: 180000</t>
        </is>
      </c>
      <c r="E213" s="6" t="inlineStr">
        <is>
          <t>El sistema acepta el dato y continúa con el siguiente paso</t>
        </is>
      </c>
      <c r="F213" s="6" t="inlineStr">
        <is>
          <t>Aprobado</t>
        </is>
      </c>
      <c r="G213" s="6" t="inlineStr">
        <is>
          <t>Precio $180.000: aceptado</t>
        </is>
      </c>
    </row>
    <row r="214">
      <c r="A214" s="6" t="inlineStr">
        <is>
          <t>CP-V-42-ERR</t>
        </is>
      </c>
      <c r="B214" s="6" t="inlineStr">
        <is>
          <t>RF-25</t>
        </is>
      </c>
      <c r="C214" s="6" t="inlineStr">
        <is>
          <t>Validación (dato inválido)</t>
        </is>
      </c>
      <c r="D214" s="6" t="inlineStr">
        <is>
          <t>Ingreso — Precio unitario: 0</t>
        </is>
      </c>
      <c r="E214" s="6" t="inlineStr">
        <is>
          <t>Muestra «El precio debe estar entre $1 y $50.000.000.», no avanza y conserva lo escrito</t>
        </is>
      </c>
      <c r="F214" s="6" t="inlineStr">
        <is>
          <t>Aprobado</t>
        </is>
      </c>
      <c r="G214" s="6" t="inlineStr">
        <is>
          <t>Precio $0: RECHAZADO V-42 «El precio debe estar entre $1 y $50.000.000.»</t>
        </is>
      </c>
    </row>
    <row r="215">
      <c r="A215" s="6" t="inlineStr">
        <is>
          <t>CP-V-43-OK</t>
        </is>
      </c>
      <c r="B215" s="6" t="inlineStr">
        <is>
          <t>RF-27</t>
        </is>
      </c>
      <c r="C215" s="6" t="inlineStr">
        <is>
          <t>Validación (dato válido)</t>
        </is>
      </c>
      <c r="D215" s="6" t="inlineStr">
        <is>
          <t>Editar o eliminar — Deshacer: A los 10 s</t>
        </is>
      </c>
      <c r="E215" s="6" t="inlineStr">
        <is>
          <t>El sistema acepta el dato y continúa con el siguiente paso</t>
        </is>
      </c>
      <c r="F215" s="6" t="inlineStr">
        <is>
          <t>Aprobado</t>
        </is>
      </c>
      <c r="G215" s="6" t="inlineStr">
        <is>
          <t>Deshacer a los 10 s: se acepta y el registro vuelve</t>
        </is>
      </c>
    </row>
    <row r="216">
      <c r="A216" s="6" t="inlineStr">
        <is>
          <t>CP-V-43-ERR</t>
        </is>
      </c>
      <c r="B216" s="6" t="inlineStr">
        <is>
          <t>RF-27</t>
        </is>
      </c>
      <c r="C216" s="6" t="inlineStr">
        <is>
          <t>Validación (dato inválido)</t>
        </is>
      </c>
      <c r="D216" s="6" t="inlineStr">
        <is>
          <t>Editar o eliminar — Deshacer: A los 11 s</t>
        </is>
      </c>
      <c r="E216" s="6" t="inlineStr">
        <is>
          <t>Muestra «Ya no se puede deshacer.», no avanza y conserva lo escrito</t>
        </is>
      </c>
      <c r="F216" s="6" t="inlineStr">
        <is>
          <t>Aprobado</t>
        </is>
      </c>
      <c r="G216" s="6" t="inlineStr">
        <is>
          <t>Deshacer a los 11 s: muestra «Ya no se puede deshacer.», no avanza y el registro sigue eliminado</t>
        </is>
      </c>
    </row>
    <row r="217">
      <c r="A217" s="6" t="inlineStr">
        <is>
          <t>CP-V-44-OK</t>
        </is>
      </c>
      <c r="B217" s="6" t="inlineStr">
        <is>
          <t>RF-36</t>
        </is>
      </c>
      <c r="C217" s="6" t="inlineStr">
        <is>
          <t>Validación (dato válido)</t>
        </is>
      </c>
      <c r="D217" s="6" t="inlineStr">
        <is>
          <t>Sincronización — Sin conexión: Con conexión</t>
        </is>
      </c>
      <c r="E217" s="6" t="inlineStr">
        <is>
          <t>El sistema acepta el dato y continúa con el siguiente paso</t>
        </is>
      </c>
      <c r="F217" s="6" t="inlineStr">
        <is>
          <t>Aprobado</t>
        </is>
      </c>
      <c r="G217" s="6" t="inlineStr">
        <is>
          <t>Con conexión: no aparece el aviso de falta de conexión y se puede continuar</t>
        </is>
      </c>
    </row>
    <row r="218">
      <c r="A218" s="6" t="inlineStr">
        <is>
          <t>CP-V-44-ERR</t>
        </is>
      </c>
      <c r="B218" s="6" t="inlineStr">
        <is>
          <t>RF-36</t>
        </is>
      </c>
      <c r="C218" s="6" t="inlineStr">
        <is>
          <t>Validación (dato inválido)</t>
        </is>
      </c>
      <c r="D218" s="6" t="inlineStr">
        <is>
          <t>Sincronización — Sin conexión: Sin conexión</t>
        </is>
      </c>
      <c r="E218" s="6" t="inlineStr">
        <is>
          <t>Muestra «Sin conexión: sus datos están guardados en este dispositivo y se enviarán solos.», no avanza y conserva lo escrito</t>
        </is>
      </c>
      <c r="F218" s="6" t="inlineStr">
        <is>
          <t>Aprobado</t>
        </is>
      </c>
      <c r="G218" s="6" t="inlineStr">
        <is>
          <t>Sin conexión: muestra «Sin conexión: sus datos están guardados en este dispositivo y se enviarán solos.» y deja seguir trabajando</t>
        </is>
      </c>
    </row>
    <row r="219">
      <c r="A219" s="6" t="inlineStr">
        <is>
          <t>CP-V-45-OK</t>
        </is>
      </c>
      <c r="B219" s="6" t="inlineStr">
        <is>
          <t>RF-36</t>
        </is>
      </c>
      <c r="C219" s="6" t="inlineStr">
        <is>
          <t>Validación (dato válido)</t>
        </is>
      </c>
      <c r="D219" s="6" t="inlineStr">
        <is>
          <t>Sincronización — Falla del servidor: Envío correcto</t>
        </is>
      </c>
      <c r="E219" s="6" t="inlineStr">
        <is>
          <t>El sistema acepta el dato y continúa con el siguiente paso</t>
        </is>
      </c>
      <c r="F219" s="6" t="inlineStr">
        <is>
          <t>Aprobado</t>
        </is>
      </c>
      <c r="G219" s="6" t="inlineStr">
        <is>
          <t>Envío correcto: el gasto pasa a sincronizado sin avisos de error</t>
        </is>
      </c>
    </row>
    <row r="220">
      <c r="A220" s="6" t="inlineStr">
        <is>
          <t>CP-V-45-ERR</t>
        </is>
      </c>
      <c r="B220" s="6" t="inlineStr">
        <is>
          <t>RF-36</t>
        </is>
      </c>
      <c r="C220" s="6" t="inlineStr">
        <is>
          <t>Validación (dato inválido)</t>
        </is>
      </c>
      <c r="D220" s="6" t="inlineStr">
        <is>
          <t>Sincronización — Falla del servidor: Error del servidor</t>
        </is>
      </c>
      <c r="E220" s="6" t="inlineStr">
        <is>
          <t>Muestra «No pudimos enviar sus datos ahora. Lo intentaremos de nuevo.», no avanza y conserva lo escrito</t>
        </is>
      </c>
      <c r="F220" s="6" t="inlineStr">
        <is>
          <t>Aprobado</t>
        </is>
      </c>
      <c r="G220" s="6" t="inlineStr">
        <is>
          <t>Error 500 del servidor: muestra «No pudimos enviar sus datos ahora. Lo intentaremos de nuevo.»; el gasto sigue PENDIENTE (1) en el dispositivo</t>
        </is>
      </c>
    </row>
    <row r="221">
      <c r="A221" s="6" t="inlineStr">
        <is>
          <t>CP-V-46-OK</t>
        </is>
      </c>
      <c r="B221" s="6" t="inlineStr">
        <is>
          <t>RF-36</t>
        </is>
      </c>
      <c r="C221" s="6" t="inlineStr">
        <is>
          <t>Validación (dato válido)</t>
        </is>
      </c>
      <c r="D221" s="6" t="inlineStr">
        <is>
          <t>Sincronización — Sesión vencida: Sesión vigente</t>
        </is>
      </c>
      <c r="E221" s="6" t="inlineStr">
        <is>
          <t>El sistema acepta el dato y continúa con el siguiente paso</t>
        </is>
      </c>
      <c r="F221" s="6" t="inlineStr">
        <is>
          <t>Aprobado</t>
        </is>
      </c>
      <c r="G221" s="6" t="inlineStr">
        <is>
          <t>Sesión vigente: la sincronización responde 200</t>
        </is>
      </c>
    </row>
    <row r="222">
      <c r="A222" s="6" t="inlineStr">
        <is>
          <t>CP-V-46-ERR</t>
        </is>
      </c>
      <c r="B222" s="6" t="inlineStr">
        <is>
          <t>RF-36</t>
        </is>
      </c>
      <c r="C222" s="6" t="inlineStr">
        <is>
          <t>Validación (dato inválido)</t>
        </is>
      </c>
      <c r="D222" s="6" t="inlineStr">
        <is>
          <t>Sincronización — Sesión vencida: Sesión de más de 30 días</t>
        </is>
      </c>
      <c r="E222" s="6" t="inlineStr">
        <is>
          <t>Muestra «Su sesión venció. Ingrese de nuevo; sus datos siguen guardados.», no avanza y conserva lo escrito</t>
        </is>
      </c>
      <c r="F222" s="6" t="inlineStr">
        <is>
          <t>Aprobado</t>
        </is>
      </c>
      <c r="G222" s="6" t="inlineStr">
        <is>
          <t>Sesión de más de 30 días: 401 V-46 «Su sesión venció. Ingrese de nuevo; sus datos siguen guardados.». La conservación de datos locales se prueba en e2e_plan.cjs</t>
        </is>
      </c>
    </row>
    <row r="223">
      <c r="A223" s="6" t="inlineStr">
        <is>
          <t>CP-V-47-OK</t>
        </is>
      </c>
      <c r="B223" s="6" t="inlineStr">
        <is>
          <t>RF-23</t>
        </is>
      </c>
      <c r="C223" s="6" t="inlineStr">
        <is>
          <t>Validación (dato válido)</t>
        </is>
      </c>
      <c r="D223" s="6" t="inlineStr">
        <is>
          <t>Gasto, jornales e ingreso — Fecha del registro: Hoy</t>
        </is>
      </c>
      <c r="E223" s="6" t="inlineStr">
        <is>
          <t>El sistema acepta el dato y continúa con el siguiente paso</t>
        </is>
      </c>
      <c r="F223" s="6" t="inlineStr">
        <is>
          <t>Aprobado</t>
        </is>
      </c>
      <c r="G223" s="6" t="inlineStr">
        <is>
          <t>Fecha de hoy: gasto aceptado</t>
        </is>
      </c>
    </row>
    <row r="224">
      <c r="A224" s="6" t="inlineStr">
        <is>
          <t>CP-V-47-ERR</t>
        </is>
      </c>
      <c r="B224" s="6" t="inlineStr">
        <is>
          <t>RF-23</t>
        </is>
      </c>
      <c r="C224" s="6" t="inlineStr">
        <is>
          <t>Validación (dato inválido)</t>
        </is>
      </c>
      <c r="D224" s="6" t="inlineStr">
        <is>
          <t>Gasto, jornales e ingreso — Fecha del registro: Mañana</t>
        </is>
      </c>
      <c r="E224" s="6" t="inlineStr">
        <is>
          <t>Muestra «La fecha no puede ser posterior a hoy ni anterior a la siembra del ciclo.», no avanza y conserva lo escrito</t>
        </is>
      </c>
      <c r="F224" s="6" t="inlineStr">
        <is>
          <t>Aprobado</t>
        </is>
      </c>
      <c r="G224" s="6" t="inlineStr">
        <is>
          <t>Fecha de mañana: RECHAZADO V-47 «La fecha no puede ser posterior a hoy ni anterior a la siembra del ciclo.»</t>
        </is>
      </c>
    </row>
    <row r="225">
      <c r="A225" s="6" t="inlineStr">
        <is>
          <t>CP-V-48-OK</t>
        </is>
      </c>
      <c r="B225" s="6" t="inlineStr">
        <is>
          <t>RF-14</t>
        </is>
      </c>
      <c r="C225" s="6" t="inlineStr">
        <is>
          <t>Validación (dato válido)</t>
        </is>
      </c>
      <c r="D225" s="6" t="inlineStr">
        <is>
          <t>Ciclo — Rango de la fecha de siembra: 15/11/2026</t>
        </is>
      </c>
      <c r="E225" s="6" t="inlineStr">
        <is>
          <t>El sistema acepta el dato y continúa con el siguiente paso</t>
        </is>
      </c>
      <c r="F225" s="6" t="inlineStr">
        <is>
          <t>Aprobado</t>
        </is>
      </c>
      <c r="G225" s="6" t="inlineStr">
        <is>
          <t>Siembra 15/11/2026: aceptada</t>
        </is>
      </c>
    </row>
    <row r="226">
      <c r="A226" s="6" t="inlineStr">
        <is>
          <t>CP-V-48-ERR</t>
        </is>
      </c>
      <c r="B226" s="6" t="inlineStr">
        <is>
          <t>RF-14</t>
        </is>
      </c>
      <c r="C226" s="6" t="inlineStr">
        <is>
          <t>Validación (dato inválido)</t>
        </is>
      </c>
      <c r="D226" s="6" t="inlineStr">
        <is>
          <t>Ciclo — Rango de la fecha de siembra: 01/01/2019</t>
        </is>
      </c>
      <c r="E226" s="6" t="inlineStr">
        <is>
          <t>Muestra «La fecha de siembra debe estar entre el 01/01/2020 y un año después de hoy.», no avanza y conserva lo escrito</t>
        </is>
      </c>
      <c r="F226" s="6" t="inlineStr">
        <is>
          <t>Aprobado</t>
        </is>
      </c>
      <c r="G226" s="6" t="inlineStr">
        <is>
          <t>Siembra 01/01/2019: RECHAZADO V-48 «La fecha de siembra debe estar entre el 01/01/2020 y un año después de hoy.»</t>
        </is>
      </c>
    </row>
    <row r="227">
      <c r="A227" s="6" t="inlineStr">
        <is>
          <t>CP-V-49-OK</t>
        </is>
      </c>
      <c r="B227" s="6" t="inlineStr">
        <is>
          <t>RF-14</t>
        </is>
      </c>
      <c r="C227" s="6" t="inlineStr">
        <is>
          <t>Validación (dato válido)</t>
        </is>
      </c>
      <c r="D227" s="6" t="inlineStr">
        <is>
          <t>Ciclo — Vigencia del ciclo en años: 7</t>
        </is>
      </c>
      <c r="E227" s="6" t="inlineStr">
        <is>
          <t>El sistema acepta el dato y continúa con el siguiente paso</t>
        </is>
      </c>
      <c r="F227" s="6" t="inlineStr">
        <is>
          <t>Aprobado</t>
        </is>
      </c>
      <c r="G227" s="6" t="inlineStr">
        <is>
          <t>Vigencia 7 años: aceptada</t>
        </is>
      </c>
    </row>
    <row r="228">
      <c r="A228" s="6" t="inlineStr">
        <is>
          <t>CP-V-49-ERR</t>
        </is>
      </c>
      <c r="B228" s="6" t="inlineStr">
        <is>
          <t>RF-14</t>
        </is>
      </c>
      <c r="C228" s="6" t="inlineStr">
        <is>
          <t>Validación (dato inválido)</t>
        </is>
      </c>
      <c r="D228" s="6" t="inlineStr">
        <is>
          <t>Ciclo — Vigencia del ciclo en años: 51 o 2,5</t>
        </is>
      </c>
      <c r="E228" s="6" t="inlineStr">
        <is>
          <t>Muestra «La vigencia debe ser un número entero de años entre 1 y 50.», no avanza y conserva lo escrito</t>
        </is>
      </c>
      <c r="F228" s="6" t="inlineStr">
        <is>
          <t>Aprobado</t>
        </is>
      </c>
      <c r="G228" s="6" t="inlineStr">
        <is>
          <t>Vigencia 51 y 2,5: RECHAZADO V-49 en ambos (51: La vigencia debe ser un número entero de años entre 1 y 50.; 2.5: La vigencia debe ser un número entero de años entre 1 y 50.)</t>
        </is>
      </c>
    </row>
    <row r="229">
      <c r="A229" s="6" t="inlineStr">
        <is>
          <t>CP-V-50-OK</t>
        </is>
      </c>
      <c r="B229" s="6" t="inlineStr">
        <is>
          <t>RF-14</t>
        </is>
      </c>
      <c r="C229" s="6" t="inlineStr">
        <is>
          <t>Validación (dato válido)</t>
        </is>
      </c>
      <c r="D229" s="6" t="inlineStr">
        <is>
          <t>Ciclo — Cultivo repetido en el ciclo: Plátano (nuevo en el ciclo)</t>
        </is>
      </c>
      <c r="E229" s="6" t="inlineStr">
        <is>
          <t>El sistema acepta el dato y continúa con el siguiente paso</t>
        </is>
      </c>
      <c r="F229" s="6" t="inlineStr">
        <is>
          <t>Aprobado</t>
        </is>
      </c>
      <c r="G229" s="6" t="inlineStr">
        <is>
          <t>Plátano (nuevo en el ciclo): aceptado</t>
        </is>
      </c>
    </row>
    <row r="230">
      <c r="A230" s="6" t="inlineStr">
        <is>
          <t>CP-V-50-ERR</t>
        </is>
      </c>
      <c r="B230" s="6" t="inlineStr">
        <is>
          <t>RF-14</t>
        </is>
      </c>
      <c r="C230" s="6" t="inlineStr">
        <is>
          <t>Validación (dato inválido)</t>
        </is>
      </c>
      <c r="D230" s="6" t="inlineStr">
        <is>
          <t>Ciclo — Cultivo repetido en el ciclo: Café (ya está en el ciclo)</t>
        </is>
      </c>
      <c r="E230" s="6" t="inlineStr">
        <is>
          <t>Muestra «Este cultivo ya está en el ciclo.», no avanza y conserva lo escrito</t>
        </is>
      </c>
      <c r="F230" s="6" t="inlineStr">
        <is>
          <t>Aprobado</t>
        </is>
      </c>
      <c r="G230" s="6" t="inlineStr">
        <is>
          <t>Café repetido en el mismo ciclo: RECHAZADO V-50 «Este cultivo ya está en el ciclo.»</t>
        </is>
      </c>
    </row>
  </sheetData>
  <autoFilter ref="A1:G2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34" customWidth="1" min="3" max="3"/>
    <col width="30" customWidth="1" min="4" max="4"/>
    <col width="60" customWidth="1" min="5" max="5"/>
    <col width="52" customWidth="1" min="6" max="6"/>
    <col width="11" customWidth="1" min="7" max="7"/>
    <col width="24" customWidth="1" min="8" max="8"/>
  </cols>
  <sheetData>
    <row r="1">
      <c r="A1" s="5" t="inlineStr">
        <is>
          <t>Caso</t>
        </is>
      </c>
      <c r="B1" s="5" t="inlineStr">
        <is>
          <t>Requisito</t>
        </is>
      </c>
      <c r="C1" s="5" t="inlineStr">
        <is>
          <t>Función</t>
        </is>
      </c>
      <c r="D1" s="5" t="inlineStr">
        <is>
          <t>Camino (nodos)</t>
        </is>
      </c>
      <c r="E1" s="5" t="inlineStr">
        <is>
          <t>Situación y datos de entrada</t>
        </is>
      </c>
      <c r="F1" s="5" t="inlineStr">
        <is>
          <t>Resultado esperado</t>
        </is>
      </c>
      <c r="G1" s="5" t="inlineStr">
        <is>
          <t>Estado</t>
        </is>
      </c>
      <c r="H1" s="5" t="inlineStr">
        <is>
          <t>Resultado obtenido</t>
        </is>
      </c>
    </row>
    <row r="2">
      <c r="A2" s="6" t="inlineStr">
        <is>
          <t>CB-01</t>
        </is>
      </c>
      <c r="B2" s="6" t="inlineStr">
        <is>
          <t>RF-18</t>
        </is>
      </c>
      <c r="C2" s="6" t="inlineStr">
        <is>
          <t>matas_por_hectarea(marco, d1, d2, rango)</t>
        </is>
      </c>
      <c r="D2" s="6" t="inlineStr">
        <is>
          <t>1-X32</t>
        </is>
      </c>
      <c r="E2" s="6" t="inlineStr">
        <is>
          <t>Marco sin elegir. Marco: sin elegir; d1 = 1,5 m; rango del cultivo: 1,0 a 2,0 m</t>
        </is>
      </c>
      <c r="F2" s="6" t="inlineStr">
        <is>
          <t>Error V-32: «Elija el marco de siembra.»</t>
        </is>
      </c>
      <c r="G2" s="6" t="inlineStr">
        <is>
          <t>Aprobado</t>
        </is>
      </c>
      <c r="H2" s="6" t="inlineStr">
        <is>
          <t>Camino 1-X32: marco sin elegir → ('error', 'V-32') «Elija el marco de siembra.»</t>
        </is>
      </c>
    </row>
    <row r="3">
      <c r="A3" s="6" t="inlineStr">
        <is>
          <t>CB-02</t>
        </is>
      </c>
      <c r="B3" s="6" t="inlineStr">
        <is>
          <t>RF-18</t>
        </is>
      </c>
      <c r="C3" s="6" t="inlineStr">
        <is>
          <t>matas_por_hectarea(marco, d1, d2, rango)</t>
        </is>
      </c>
      <c r="D3" s="6" t="inlineStr">
        <is>
          <t>1-2-X33</t>
        </is>
      </c>
      <c r="E3" s="6" t="inlineStr">
        <is>
          <t>Distancia d1 igual a 0. Marco: cuadrado; d1 = 0,0 m; rango del cultivo: 1,0 a 2,0 m</t>
        </is>
      </c>
      <c r="F3" s="6" t="inlineStr">
        <is>
          <t>Error V-33: «La distancia debe estar entre 0,01 y 10 metros.»</t>
        </is>
      </c>
      <c r="G3" s="6" t="inlineStr">
        <is>
          <t>Aprobado</t>
        </is>
      </c>
      <c r="H3" s="6" t="inlineStr">
        <is>
          <t>Camino 1-2-X33: d1 = 0,0 → ('error', 'V-33') «La distancia debe estar entre 0,01 y 10 metros.»</t>
        </is>
      </c>
    </row>
    <row r="4">
      <c r="A4" s="6" t="inlineStr">
        <is>
          <t>CB-03</t>
        </is>
      </c>
      <c r="B4" s="6" t="inlineStr">
        <is>
          <t>RF-18</t>
        </is>
      </c>
      <c r="C4" s="6" t="inlineStr">
        <is>
          <t>matas_por_hectarea(marco, d1, d2, rango)</t>
        </is>
      </c>
      <c r="D4" s="6" t="inlineStr">
        <is>
          <t>1-2-3-4-X33</t>
        </is>
      </c>
      <c r="E4" s="6" t="inlineStr">
        <is>
          <t>Rectangular con d2 igual a 0. Marco: rectangular; d1 = 1,0 m; d2 = 0,0 m; rango del cultivo: 1,0 a 2,0 m</t>
        </is>
      </c>
      <c r="F4" s="6" t="inlineStr">
        <is>
          <t>Error V-33: «La distancia debe estar entre 0,01 y 10 metros.»</t>
        </is>
      </c>
      <c r="G4" s="6" t="inlineStr">
        <is>
          <t>Aprobado</t>
        </is>
      </c>
      <c r="H4" s="6" t="inlineStr">
        <is>
          <t>Camino 1-2-3-4-X33: rectangular con d2 = 0,0 → ('error', 'V-33') «La distancia debe estar entre 0,01 y 10 metros.»</t>
        </is>
      </c>
    </row>
    <row r="5">
      <c r="A5" s="6" t="inlineStr">
        <is>
          <t>CB-04</t>
        </is>
      </c>
      <c r="B5" s="6" t="inlineStr">
        <is>
          <t>RF-18</t>
        </is>
      </c>
      <c r="C5" s="6" t="inlineStr">
        <is>
          <t>matas_por_hectarea(marco, d1, d2, rango)</t>
        </is>
      </c>
      <c r="D5" s="6" t="inlineStr">
        <is>
          <t>1-2-3-4-5-9-10-13</t>
        </is>
      </c>
      <c r="E5" s="6" t="inlineStr">
        <is>
          <t>Rectangular sin rango en el catálogo. Marco: rectangular; d1 = 1,0 m; d2 = 1,5 m; el cultivo no tiene rango</t>
        </is>
      </c>
      <c r="F5" s="6" t="inlineStr">
        <is>
          <t>6.666,67 matas por hectárea sin advertencia</t>
        </is>
      </c>
      <c r="G5" s="6" t="inlineStr">
        <is>
          <t>Aprobado</t>
        </is>
      </c>
      <c r="H5" s="6" t="inlineStr">
        <is>
          <t>Camino 1-2-3-4-5-9-10-13: rectangular 1,0 × 1,5 sin rango → ('ok', 6666.67, None): 6.666,67 matas/ha sin advertencia</t>
        </is>
      </c>
    </row>
    <row r="6">
      <c r="A6" s="6" t="inlineStr">
        <is>
          <t>CB-05</t>
        </is>
      </c>
      <c r="B6" s="6" t="inlineStr">
        <is>
          <t>RF-18</t>
        </is>
      </c>
      <c r="C6" s="6" t="inlineStr">
        <is>
          <t>matas_por_hectarea(marco, d1, d2, rango)</t>
        </is>
      </c>
      <c r="D6" s="6" t="inlineStr">
        <is>
          <t>1-2-3-6-7-9-10-11-13</t>
        </is>
      </c>
      <c r="E6" s="6" t="inlineStr">
        <is>
          <t>Cuadrado dentro del rango (café 1,5 m). Marco: cuadrado; d1 = 1,5 m; rango del cultivo: 1,0 a 2,0 m</t>
        </is>
      </c>
      <c r="F6" s="6" t="inlineStr">
        <is>
          <t>4.444,44 matas por hectárea sin advertencia</t>
        </is>
      </c>
      <c r="G6" s="6" t="inlineStr">
        <is>
          <t>Aprobado</t>
        </is>
      </c>
      <c r="H6" s="6" t="inlineStr">
        <is>
          <t>Camino 1-2-3-6-7-9-10-11-13: cuadrado 1,5 m dentro del rango → ('ok', 4444.44, None): 4.444,44 matas/ha sin advertencia</t>
        </is>
      </c>
    </row>
    <row r="7">
      <c r="A7" s="6" t="inlineStr">
        <is>
          <t>CB-06</t>
        </is>
      </c>
      <c r="B7" s="6" t="inlineStr">
        <is>
          <t>RF-18</t>
        </is>
      </c>
      <c r="C7" s="6" t="inlineStr">
        <is>
          <t>matas_por_hectarea(marco, d1, d2, rango)</t>
        </is>
      </c>
      <c r="D7" s="6" t="inlineStr">
        <is>
          <t>1-2-3-6-8-9-10-11-13</t>
        </is>
      </c>
      <c r="E7" s="6" t="inlineStr">
        <is>
          <t>Tresbolillo dentro del rango (café 1,5 m). Marco: tresbolillo; d1 = 1,5 m; rango del cultivo: 1,0 a 2,0 m</t>
        </is>
      </c>
      <c r="F7" s="6" t="inlineStr">
        <is>
          <t>5.132,00 matas por hectárea sin advertencia</t>
        </is>
      </c>
      <c r="G7" s="6" t="inlineStr">
        <is>
          <t>Aprobado</t>
        </is>
      </c>
      <c r="H7" s="6" t="inlineStr">
        <is>
          <t>Camino 1-2-3-6-8-9-10-11-13: tresbolillo 1,5 m → ('ok', 5132.0, None): 5.132,00 matas/ha sin advertencia</t>
        </is>
      </c>
    </row>
    <row r="8">
      <c r="A8" s="6" t="inlineStr">
        <is>
          <t>CB-07</t>
        </is>
      </c>
      <c r="B8" s="6" t="inlineStr">
        <is>
          <t>RF-18</t>
        </is>
      </c>
      <c r="C8" s="6" t="inlineStr">
        <is>
          <t>matas_por_hectarea(marco, d1, d2, rango)</t>
        </is>
      </c>
      <c r="D8" s="6" t="inlineStr">
        <is>
          <t>1-2-3-6-7-9-10-11-12-13</t>
        </is>
      </c>
      <c r="E8" s="6" t="inlineStr">
        <is>
          <t>Cuadrado fuera del rango (café 2,5 m). Marco: cuadrado; d1 = 2,5 m; rango del cultivo: 1,0 a 2,0 m</t>
        </is>
      </c>
      <c r="F8" s="6" t="inlineStr">
        <is>
          <t>1.600,00 matas por hectárea y advertencia V-34</t>
        </is>
      </c>
      <c r="G8" s="6" t="inlineStr">
        <is>
          <t>Aprobado</t>
        </is>
      </c>
      <c r="H8" s="6" t="inlineStr">
        <is>
          <t>Camino 1-2-3-6-7-9-10-11-12-13: cuadrado 2,5 m fuera del rango 1,0–2,0 → ('ok', 1600.0, 'V-34'): 1.600,00 matas/ha y advertencia V-34 (el cálculo no se bloquea)</t>
        </is>
      </c>
    </row>
    <row r="9">
      <c r="A9" s="6" t="inlineStr">
        <is>
          <t>CB-08</t>
        </is>
      </c>
      <c r="B9" s="6" t="inlineStr">
        <is>
          <t>RF-18</t>
        </is>
      </c>
      <c r="C9" s="6" t="inlineStr">
        <is>
          <t>matas_por_hectarea(marco, d1, d2, rango)</t>
        </is>
      </c>
      <c r="D9" s="6" t="inlineStr">
        <is>
          <t>1-2-3-4-5-9-10-11-13</t>
        </is>
      </c>
      <c r="E9" s="6" t="inlineStr">
        <is>
          <t>Rectangular dentro del rango (café 1,0 × 1,5 m). Marco: rectangular; d1 = 1,0 m; d2 = 1,5 m; rango del cultivo: 1,0 a 2,0 m</t>
        </is>
      </c>
      <c r="F9" s="6" t="inlineStr">
        <is>
          <t>6.666,67 matas por hectárea sin advertencia</t>
        </is>
      </c>
      <c r="G9" s="6" t="inlineStr">
        <is>
          <t>Aprobado</t>
        </is>
      </c>
      <c r="H9" s="6" t="inlineStr">
        <is>
          <t>Camino 1-2-3-4-5-9-10-11-13: rectangular 1,0 × 1,5 dentro del rango → ('ok', 6666.67, None): 6.666,67 matas/ha sin advertencia</t>
        </is>
      </c>
    </row>
    <row r="10">
      <c r="A10" s="6" t="inlineStr">
        <is>
          <t>CB-09</t>
        </is>
      </c>
      <c r="B10" s="6" t="inlineStr">
        <is>
          <t>RF-03</t>
        </is>
      </c>
      <c r="C10" s="6" t="inlineStr">
        <is>
          <t>iniciar_sesion(correo, clave)</t>
        </is>
      </c>
      <c r="D10" s="6" t="inlineStr">
        <is>
          <t>1-X16</t>
        </is>
      </c>
      <c r="E10" s="6" t="inlineStr">
        <is>
          <t>Correo vacío. Correo: vacío; clave: correcta; cuenta ACTIVA, 0 fallos previos</t>
        </is>
      </c>
      <c r="F10" s="6" t="inlineStr">
        <is>
          <t>Error V-16: «Escriba su correo y su clave.»</t>
        </is>
      </c>
      <c r="G10" s="6" t="inlineStr">
        <is>
          <t>Aprobado</t>
        </is>
      </c>
      <c r="H10" s="6" t="inlineStr">
        <is>
          <t>Camino 1-X16: correo vacío → ('error', 'V-16') «Escriba su correo y su clave.»</t>
        </is>
      </c>
    </row>
    <row r="11">
      <c r="A11" s="6" t="inlineStr">
        <is>
          <t>CB-10</t>
        </is>
      </c>
      <c r="B11" s="6" t="inlineStr">
        <is>
          <t>RF-03</t>
        </is>
      </c>
      <c r="C11" s="6" t="inlineStr">
        <is>
          <t>iniciar_sesion(correo, clave)</t>
        </is>
      </c>
      <c r="D11" s="6" t="inlineStr">
        <is>
          <t>1-2-X16</t>
        </is>
      </c>
      <c r="E11" s="6" t="inlineStr">
        <is>
          <t>Clave vacía. Correo: maria@correo.com; clave: vacía; cuenta ACTIVA, 0 fallos previos</t>
        </is>
      </c>
      <c r="F11" s="6" t="inlineStr">
        <is>
          <t>Error V-16: «Escriba su correo y su clave.»</t>
        </is>
      </c>
      <c r="G11" s="6" t="inlineStr">
        <is>
          <t>Aprobado</t>
        </is>
      </c>
      <c r="H11" s="6" t="inlineStr">
        <is>
          <t>Camino 1-2-X16: clave vacía → ('error', 'V-16') «Escriba su correo y su clave.»</t>
        </is>
      </c>
    </row>
    <row r="12">
      <c r="A12" s="6" t="inlineStr">
        <is>
          <t>CB-11</t>
        </is>
      </c>
      <c r="B12" s="6" t="inlineStr">
        <is>
          <t>RF-03</t>
        </is>
      </c>
      <c r="C12" s="6" t="inlineStr">
        <is>
          <t>iniciar_sesion(correo, clave)</t>
        </is>
      </c>
      <c r="D12" s="6" t="inlineStr">
        <is>
          <t>1-2-3-X17</t>
        </is>
      </c>
      <c r="E12" s="6" t="inlineStr">
        <is>
          <t>Correo sin cuenta. Correo: nadie@correo.com; clave: incorrecta; la cuenta no existe</t>
        </is>
      </c>
      <c r="F12" s="6" t="inlineStr">
        <is>
          <t>Error V-17: «Correo o clave incorrectos.»</t>
        </is>
      </c>
      <c r="G12" s="6" t="inlineStr">
        <is>
          <t>Aprobado</t>
        </is>
      </c>
      <c r="H12" s="6" t="inlineStr">
        <is>
          <t>Camino 1-2-3-X17: correo sin cuenta → ('error', 'V-17') «Correo o clave incorrectos.»</t>
        </is>
      </c>
    </row>
    <row r="13">
      <c r="A13" s="6" t="inlineStr">
        <is>
          <t>CB-12</t>
        </is>
      </c>
      <c r="B13" s="6" t="inlineStr">
        <is>
          <t>RF-03</t>
        </is>
      </c>
      <c r="C13" s="6" t="inlineStr">
        <is>
          <t>iniciar_sesion(correo, clave)</t>
        </is>
      </c>
      <c r="D13" s="6" t="inlineStr">
        <is>
          <t>1-2-3-4-5-X18</t>
        </is>
      </c>
      <c r="E13" s="6" t="inlineStr">
        <is>
          <t>Cuenta bloqueada (faltan 5 minutos), con clave correcta. Correo: maria@correo.com; clave: correcta; cuenta ACTIVA, 0 fallos previos; bloqueo vigente, faltan 5 min</t>
        </is>
      </c>
      <c r="F13" s="6" t="inlineStr">
        <is>
          <t>Error V-18: «Cuenta bloqueada por 15 minutos. Intente de nuevo a las HH:MM.»</t>
        </is>
      </c>
      <c r="G13" s="6" t="inlineStr">
        <is>
          <t>Aprobado</t>
        </is>
      </c>
      <c r="H13" s="6" t="inlineStr">
        <is>
          <t>Camino 1-2-3-4-5-X18: bloqueo vigente (faltan 5 min) con clave correcta → ('error', 'V-18'); no se cuenta el intento «Cuenta bloqueada por 15 minutos. Intente de nuevo a las HH:MM.»</t>
        </is>
      </c>
    </row>
    <row r="14">
      <c r="A14" s="6" t="inlineStr">
        <is>
          <t>CB-13</t>
        </is>
      </c>
      <c r="B14" s="6" t="inlineStr">
        <is>
          <t>RF-03</t>
        </is>
      </c>
      <c r="C14" s="6" t="inlineStr">
        <is>
          <t>iniciar_sesion(correo, clave)</t>
        </is>
      </c>
      <c r="D14" s="6" t="inlineStr">
        <is>
          <t>1-2-3-4-5-6-10-11-OK</t>
        </is>
      </c>
      <c r="E14" s="6" t="inlineStr">
        <is>
          <t>Bloqueo vencido (pasaron 15 minutos), clave correcta. Correo: maria@correo.com; clave: correcta; cuenta ACTIVA, 0 fallos previos; bloqueo registrado hace 15 min</t>
        </is>
      </c>
      <c r="F14" s="6" t="inlineStr">
        <is>
          <t>Acepta: token 30 días</t>
        </is>
      </c>
      <c r="G14" s="6" t="inlineStr">
        <is>
          <t>Aprobado</t>
        </is>
      </c>
      <c r="H14" s="6" t="inlineStr">
        <is>
          <t>Camino 1-2-3-4-5-6-10-11-OK: bloqueo vencido (pasaron 15 min) con clave correcta → ('ok',); el bloqueo y los fallos quedan en cero</t>
        </is>
      </c>
    </row>
    <row r="15">
      <c r="A15" s="6" t="inlineStr">
        <is>
          <t>CB-14</t>
        </is>
      </c>
      <c r="B15" s="6" t="inlineStr">
        <is>
          <t>RF-03</t>
        </is>
      </c>
      <c r="C15" s="6" t="inlineStr">
        <is>
          <t>iniciar_sesion(correo, clave)</t>
        </is>
      </c>
      <c r="D15" s="6" t="inlineStr">
        <is>
          <t>1-2-3-4-6-7-8-X17</t>
        </is>
      </c>
      <c r="E15" s="6" t="inlineStr">
        <is>
          <t>Clave incorrecta con 1 fallo previo. Correo: maria@correo.com; clave: incorrecta; cuenta ACTIVA, 1 fallo previo</t>
        </is>
      </c>
      <c r="F15" s="6" t="inlineStr">
        <is>
          <t>Error V-17: «Correo o clave incorrectos.»</t>
        </is>
      </c>
      <c r="G15" s="6" t="inlineStr">
        <is>
          <t>Aprobado</t>
        </is>
      </c>
      <c r="H15" s="6" t="inlineStr">
        <is>
          <t>Camino 1-2-3-4-6-7-8-X17: clave incorrecta con 1 fallo previo → ('error', 'V-17'); los fallos pasan de 1 a 2 «Correo o clave incorrectos.»</t>
        </is>
      </c>
    </row>
    <row r="16">
      <c r="A16" s="6" t="inlineStr">
        <is>
          <t>CB-15</t>
        </is>
      </c>
      <c r="B16" s="6" t="inlineStr">
        <is>
          <t>RF-03</t>
        </is>
      </c>
      <c r="C16" s="6" t="inlineStr">
        <is>
          <t>iniciar_sesion(correo, clave)</t>
        </is>
      </c>
      <c r="D16" s="6" t="inlineStr">
        <is>
          <t>1-2-3-4-6-7-8-9-X18</t>
        </is>
      </c>
      <c r="E16" s="6" t="inlineStr">
        <is>
          <t>Clave incorrecta con 4 fallos previos (5.º fallo). Correo: maria@correo.com; clave: incorrecta; cuenta ACTIVA, 4 fallos previos</t>
        </is>
      </c>
      <c r="F16" s="6" t="inlineStr">
        <is>
          <t>Error V-18: «Cuenta bloqueada por 15 minutos. Intente de nuevo a las HH:MM.»</t>
        </is>
      </c>
      <c r="G16" s="6" t="inlineStr">
        <is>
          <t>Aprobado</t>
        </is>
      </c>
      <c r="H16" s="6" t="inlineStr">
        <is>
          <t>Camino 1-2-3-4-6-7-8-9-X18: 5.º fallo → ('error', 'V-18'); bloqueo hasta el minuto 115 (15 min) y fallos reiniciados «Cuenta bloqueada por 15 minutos. Intente de nuevo a las HH:MM.»</t>
        </is>
      </c>
    </row>
    <row r="17">
      <c r="A17" s="6" t="inlineStr">
        <is>
          <t>CB-16</t>
        </is>
      </c>
      <c r="B17" s="6" t="inlineStr">
        <is>
          <t>RF-03</t>
        </is>
      </c>
      <c r="C17" s="6" t="inlineStr">
        <is>
          <t>iniciar_sesion(correo, clave)</t>
        </is>
      </c>
      <c r="D17" s="6" t="inlineStr">
        <is>
          <t>1-2-3-4-6-10-X19</t>
        </is>
      </c>
      <c r="E17" s="6" t="inlineStr">
        <is>
          <t>Clave correcta con cuenta pendiente. Correo: maria@correo.com; clave: correcta; cuenta PENDIENTE, 0 fallos previos</t>
        </is>
      </c>
      <c r="F17" s="6" t="inlineStr">
        <is>
          <t>Error V-19: «Su cuenta aún no está activada. Ingrese el código que llegó a su correo.»</t>
        </is>
      </c>
      <c r="G17" s="6" t="inlineStr">
        <is>
          <t>Aprobado</t>
        </is>
      </c>
      <c r="H17" s="6" t="inlineStr">
        <is>
          <t>Camino 1-2-3-4-6-10-X19: clave correcta con cuenta PENDIENTE → ('error', 'V-19') «Su cuenta aún no está activada. Ingrese el código que llegó a su correo.»</t>
        </is>
      </c>
    </row>
    <row r="18">
      <c r="A18" s="6" t="inlineStr">
        <is>
          <t>CB-17</t>
        </is>
      </c>
      <c r="B18" s="6" t="inlineStr">
        <is>
          <t>RF-03</t>
        </is>
      </c>
      <c r="C18" s="6" t="inlineStr">
        <is>
          <t>iniciar_sesion(correo, clave)</t>
        </is>
      </c>
      <c r="D18" s="6" t="inlineStr">
        <is>
          <t>1-2-3-4-6-10-11-OK</t>
        </is>
      </c>
      <c r="E18" s="6" t="inlineStr">
        <is>
          <t>Clave correcta con cuenta activa sin bloqueo. Correo: maria@correo.com; clave: correcta; cuenta ACTIVA, 0 fallos previos</t>
        </is>
      </c>
      <c r="F18" s="6" t="inlineStr">
        <is>
          <t>Acepta: token 30 días</t>
        </is>
      </c>
      <c r="G18" s="6" t="inlineStr">
        <is>
          <t>Aprobado</t>
        </is>
      </c>
      <c r="H18" s="6" t="inlineStr">
        <is>
          <t>Camino 1-2-3-4-6-10-11-OK: clave correcta con cuenta ACTIVA sin bloqueo → ('ok',) (el servicio emite el token de 30 días)</t>
        </is>
      </c>
    </row>
    <row r="19">
      <c r="A19" s="6" t="inlineStr">
        <is>
          <t>CB-18</t>
        </is>
      </c>
      <c r="B19" s="6" t="inlineStr">
        <is>
          <t>RF-02</t>
        </is>
      </c>
      <c r="C19" s="6" t="inlineStr">
        <is>
          <t>verificar_codigo(codigo)</t>
        </is>
      </c>
      <c r="D19" s="6" t="inlineStr">
        <is>
          <t>1-X15</t>
        </is>
      </c>
      <c r="E19" s="6" t="inlineStr">
        <is>
          <t>Cuenta pendiente de 25 horas. Código escrito: 482915; código enviado: 482915; intentos previos: 0; envío hace 1 min; cuenta creada hace 25 h</t>
        </is>
      </c>
      <c r="F19" s="6" t="inlineStr">
        <is>
          <t>Error V-15: «La cuenta venció. Regístrese de nuevo.»</t>
        </is>
      </c>
      <c r="G19" s="6" t="inlineStr">
        <is>
          <t>Aprobado</t>
        </is>
      </c>
      <c r="H19" s="6" t="inlineStr">
        <is>
          <t>Camino 1-X15: cuenta pendiente de 25 h → ('error', 'V-15') «La cuenta venció. Regístrese de nuevo.»</t>
        </is>
      </c>
    </row>
    <row r="20">
      <c r="A20" s="6" t="inlineStr">
        <is>
          <t>CB-19</t>
        </is>
      </c>
      <c r="B20" s="6" t="inlineStr">
        <is>
          <t>RF-02</t>
        </is>
      </c>
      <c r="C20" s="6" t="inlineStr">
        <is>
          <t>verificar_codigo(codigo)</t>
        </is>
      </c>
      <c r="D20" s="6" t="inlineStr">
        <is>
          <t>1-2-X09</t>
        </is>
      </c>
      <c r="E20" s="6" t="inlineStr">
        <is>
          <t>Código con letras (48A). Código escrito: 48A; código enviado: 482915; intentos previos: 0; envío hace 1 min; cuenta creada hace 1 h</t>
        </is>
      </c>
      <c r="F20" s="6" t="inlineStr">
        <is>
          <t>Error V-09: «Escriba los 6 dígitos del código.»</t>
        </is>
      </c>
      <c r="G20" s="6" t="inlineStr">
        <is>
          <t>Aprobado</t>
        </is>
      </c>
      <c r="H20" s="6" t="inlineStr">
        <is>
          <t>Camino 1-2-X09: código «48A» → ('error', 'V-09') «Escriba los 6 dígitos del código.»</t>
        </is>
      </c>
    </row>
    <row r="21">
      <c r="A21" s="6" t="inlineStr">
        <is>
          <t>CB-20</t>
        </is>
      </c>
      <c r="B21" s="6" t="inlineStr">
        <is>
          <t>RF-02</t>
        </is>
      </c>
      <c r="C21" s="6" t="inlineStr">
        <is>
          <t>verificar_codigo(codigo)</t>
        </is>
      </c>
      <c r="D21" s="6" t="inlineStr">
        <is>
          <t>1-2-3-X12</t>
        </is>
      </c>
      <c r="E21" s="6" t="inlineStr">
        <is>
          <t>Código ya invalidado (5 intentos previos). Código escrito: 482915; código enviado: 482915; intentos previos: 5; envío hace 1 min; cuenta creada hace 1 h</t>
        </is>
      </c>
      <c r="F21" s="6" t="inlineStr">
        <is>
          <t>Error V-12: «Demasiados intentos. Pida un código nuevo.»</t>
        </is>
      </c>
      <c r="G21" s="6" t="inlineStr">
        <is>
          <t>Aprobado</t>
        </is>
      </c>
      <c r="H21" s="6" t="inlineStr">
        <is>
          <t>Camino 1-2-3-X12: código ya invalidado (5 intentos previos), aunque sea el correcto → ('error', 'V-12') «Demasiados intentos. Pida un código nuevo.»</t>
        </is>
      </c>
    </row>
    <row r="22">
      <c r="A22" s="6" t="inlineStr">
        <is>
          <t>CB-21</t>
        </is>
      </c>
      <c r="B22" s="6" t="inlineStr">
        <is>
          <t>RF-02</t>
        </is>
      </c>
      <c r="C22" s="6" t="inlineStr">
        <is>
          <t>verificar_codigo(codigo)</t>
        </is>
      </c>
      <c r="D22" s="6" t="inlineStr">
        <is>
          <t>1-2-3-4-X11</t>
        </is>
      </c>
      <c r="E22" s="6" t="inlineStr">
        <is>
          <t>Código enviado hace 15 min 01 s. Código escrito: 482915; código enviado: 482915; intentos previos: 0; envío hace 15,02 min; cuenta creada hace 1 h</t>
        </is>
      </c>
      <c r="F22" s="6" t="inlineStr">
        <is>
          <t>Error V-11: «El código venció. Pida uno nuevo.»</t>
        </is>
      </c>
      <c r="G22" s="6" t="inlineStr">
        <is>
          <t>Aprobado</t>
        </is>
      </c>
      <c r="H22" s="6" t="inlineStr">
        <is>
          <t>Camino 1-2-3-4-X11: código enviado hace 15 min 01 s → ('error', 'V-11') «El código venció. Pida uno nuevo.»</t>
        </is>
      </c>
    </row>
    <row r="23">
      <c r="A23" s="6" t="inlineStr">
        <is>
          <t>CB-22</t>
        </is>
      </c>
      <c r="B23" s="6" t="inlineStr">
        <is>
          <t>RF-02</t>
        </is>
      </c>
      <c r="C23" s="6" t="inlineStr">
        <is>
          <t>verificar_codigo(codigo)</t>
        </is>
      </c>
      <c r="D23" s="6" t="inlineStr">
        <is>
          <t>1-2-3-4-5-6-7-X10</t>
        </is>
      </c>
      <c r="E23" s="6" t="inlineStr">
        <is>
          <t>Código incorrecto con 1 intento previo. Código escrito: 111111; código enviado: 482915; intentos previos: 1; envío hace 1 min; cuenta creada hace 1 h</t>
        </is>
      </c>
      <c r="F23" s="6" t="inlineStr">
        <is>
          <t>Error V-10: «Código incorrecto. Le quedan 3 intentos.»</t>
        </is>
      </c>
      <c r="G23" s="6" t="inlineStr">
        <is>
          <t>Aprobado</t>
        </is>
      </c>
      <c r="H23" s="6" t="inlineStr">
        <is>
          <t>Camino 1-2-3-4-5-6-7-X10: código incorrecto con 1 intento previo → ('error', 'V-10', 3): quedan 3 intentos «Código incorrecto. Le quedan N intentos.»</t>
        </is>
      </c>
    </row>
    <row r="24">
      <c r="A24" s="6" t="inlineStr">
        <is>
          <t>CB-23</t>
        </is>
      </c>
      <c r="B24" s="6" t="inlineStr">
        <is>
          <t>RF-02</t>
        </is>
      </c>
      <c r="C24" s="6" t="inlineStr">
        <is>
          <t>verificar_codigo(codigo)</t>
        </is>
      </c>
      <c r="D24" s="6" t="inlineStr">
        <is>
          <t>1-2-3-4-5-6-7-8-X12</t>
        </is>
      </c>
      <c r="E24" s="6" t="inlineStr">
        <is>
          <t>Código incorrecto con 4 intentos previos (5.º fallo). Código escrito: 111111; código enviado: 482915; intentos previos: 4; envío hace 1 min; cuenta creada hace 1 h</t>
        </is>
      </c>
      <c r="F24" s="6" t="inlineStr">
        <is>
          <t>Error V-12: «Demasiados intentos. Pida un código nuevo.»</t>
        </is>
      </c>
      <c r="G24" s="6" t="inlineStr">
        <is>
          <t>Aprobado</t>
        </is>
      </c>
      <c r="H24" s="6" t="inlineStr">
        <is>
          <t>Camino 1-2-3-4-5-6-7-8-X12: 5.º fallo → ('error', 'V-12'); el código queda invalidado «Demasiados intentos. Pida un código nuevo.»</t>
        </is>
      </c>
    </row>
    <row r="25">
      <c r="A25" s="6" t="inlineStr">
        <is>
          <t>CB-24</t>
        </is>
      </c>
      <c r="B25" s="6" t="inlineStr">
        <is>
          <t>RF-02</t>
        </is>
      </c>
      <c r="C25" s="6" t="inlineStr">
        <is>
          <t>verificar_codigo(codigo)</t>
        </is>
      </c>
      <c r="D25" s="6" t="inlineStr">
        <is>
          <t>1-2-3-4-5-9-OK</t>
        </is>
      </c>
      <c r="E25" s="6" t="inlineStr">
        <is>
          <t>Código correcto a los 14 min 59 s con la cuenta de 23 horas. Código escrito: 482915; código enviado: 482915; intentos previos: 0; envío hace 14,98 min; cuenta creada hace 23 h</t>
        </is>
      </c>
      <c r="F25" s="6" t="inlineStr">
        <is>
          <t>Acepta: cuenta ACTIVA</t>
        </is>
      </c>
      <c r="G25" s="6" t="inlineStr">
        <is>
          <t>Aprobado</t>
        </is>
      </c>
      <c r="H25" s="6" t="inlineStr">
        <is>
          <t>Camino 1-2-3-4-5-9-OK: código correcto a los 14 min 59 s con la cuenta de 23 h → ('ok',): la cuenta pasa a ACTIVA</t>
        </is>
      </c>
    </row>
    <row r="26">
      <c r="A26" s="6" t="inlineStr">
        <is>
          <t>CB-25</t>
        </is>
      </c>
      <c r="B26" s="6" t="inlineStr">
        <is>
          <t>RF-28</t>
        </is>
      </c>
      <c r="C26" s="6" t="inlineStr">
        <is>
          <t>calcular_utilidad(gastos, ingresos, area)</t>
        </is>
      </c>
      <c r="D26" s="6" t="inlineStr">
        <is>
          <t>1-3-5-6-7-9-10</t>
        </is>
      </c>
      <c r="E26" s="6" t="inlineStr">
        <is>
          <t>Ciclo sin movimientos (0 gastos, 0 ingresos: bucles sin vueltas). Gastos: ninguno; ingresos: ninguno; área efectiva: 0,9 ha</t>
        </is>
      </c>
      <c r="F26" s="6" t="inlineStr">
        <is>
          <t>Gastos $ 0; ingresos $ 0; utilidad $ 0; rentabilidad 0,0 %; utilidad por hectárea $ 0</t>
        </is>
      </c>
      <c r="G26" s="6" t="inlineStr">
        <is>
          <t>Aprobado</t>
        </is>
      </c>
      <c r="H26" s="6" t="inlineStr">
        <is>
          <t>Camino 1-3-5-6-7-9-10 (bucles sin vueltas): sin movimientos → ('ok', 0, 0, 0, 0.0, 0): todo en $ 0 y rentabilidad 0,0 %</t>
        </is>
      </c>
    </row>
    <row r="27">
      <c r="A27" s="6" t="inlineStr">
        <is>
          <t>CB-26</t>
        </is>
      </c>
      <c r="B27" s="6" t="inlineStr">
        <is>
          <t>RF-28</t>
        </is>
      </c>
      <c r="C27" s="6" t="inlineStr">
        <is>
          <t>calcular_utilidad(gastos, ingresos, area)</t>
        </is>
      </c>
      <c r="D27" s="6" t="inlineStr">
        <is>
          <t>1-3-4-3-5-6-7-9-10</t>
        </is>
      </c>
      <c r="E27" s="6" t="inlineStr">
        <is>
          <t>Solo ingresos (1 ingreso, 0 gastos): rentabilidad 0,0 %. Gastos: ninguno; ingresos: $ 500.000; área efectiva: 0,9 ha</t>
        </is>
      </c>
      <c r="F27" s="6" t="inlineStr">
        <is>
          <t>Gastos $ 0; ingresos $ 500.000; utilidad $ 500.000; rentabilidad 0,0 %; utilidad por hectárea $ 555.556</t>
        </is>
      </c>
      <c r="G27" s="6" t="inlineStr">
        <is>
          <t>Aprobado</t>
        </is>
      </c>
      <c r="H27" s="6" t="inlineStr">
        <is>
          <t>Camino 1-3-4-3-5-6-7-9-10: solo ingresos → ('ok', 0, 500000, 500000, 0.0, 555556): utilidad $ 500.000, rentabilidad 0,0 %, por hectárea $ 555.556</t>
        </is>
      </c>
    </row>
    <row r="28">
      <c r="A28" s="6" t="inlineStr">
        <is>
          <t>CB-27</t>
        </is>
      </c>
      <c r="B28" s="6" t="inlineStr">
        <is>
          <t>RF-28</t>
        </is>
      </c>
      <c r="C28" s="6" t="inlineStr">
        <is>
          <t>calcular_utilidad(gastos, ingresos, area)</t>
        </is>
      </c>
      <c r="D28" s="6" t="inlineStr">
        <is>
          <t>1-2-1-2-1-2-1-3-4-3-5-6-8-9-10</t>
        </is>
      </c>
      <c r="E28" s="6" t="inlineStr">
        <is>
          <t>Ciclo C-01 (3 gastos y 1 ingreso, una y varias vueltas). Gastos: $ 100.000, $ 30.000, $ 20.000; ingresos: $ 500.000; área efectiva: 0,9 ha</t>
        </is>
      </c>
      <c r="F28" s="6" t="inlineStr">
        <is>
          <t>Gastos $ 150.000; ingresos $ 500.000; utilidad $ 350.000; rentabilidad 233,3 %; utilidad por hectárea $ 388.889</t>
        </is>
      </c>
      <c r="G28" s="6" t="inlineStr">
        <is>
          <t>Aprobado</t>
        </is>
      </c>
      <c r="H28" s="6" t="inlineStr">
        <is>
          <t>Camino 1-2-1-2-1-2-1-3-4-3-5-6-8-9-10: ciclo C-01 (3 gastos y 1 ingreso) → ('ok', 150000, 500000, 350000, 233.3, 388889): utilidad $ 350.000, rentabilidad 233,3 %, por hectárea $ 388.889</t>
        </is>
      </c>
    </row>
    <row r="29">
      <c r="A29" s="6" t="inlineStr">
        <is>
          <t>CB-28</t>
        </is>
      </c>
      <c r="B29" s="6" t="inlineStr">
        <is>
          <t>RF-28</t>
        </is>
      </c>
      <c r="C29" s="6" t="inlineStr">
        <is>
          <t>calcular_utilidad(gastos, ingresos, area)</t>
        </is>
      </c>
      <c r="D29" s="6" t="inlineStr">
        <is>
          <t>1-2-1-2-1-3-4-3-5-6-8-9-10</t>
        </is>
      </c>
      <c r="E29" s="6" t="inlineStr">
        <is>
          <t>Pérdida (2 gastos y 1 ingreso). Gastos: $ 120.000, $ 80.000; ingresos: $ 50.000; área efectiva: 0,9 ha</t>
        </is>
      </c>
      <c r="F29" s="6" t="inlineStr">
        <is>
          <t>Gastos $ 200.000; ingresos $ 50.000; utilidad -$ 150.000; rentabilidad -75,0 %; utilidad por hectárea -$ 166.667</t>
        </is>
      </c>
      <c r="G29" s="6" t="inlineStr">
        <is>
          <t>Aprobado</t>
        </is>
      </c>
      <c r="H29" s="6" t="inlineStr">
        <is>
          <t>Camino 1-2-1-2-1-3-4-3-5-6-8-9-10: pérdida → ('ok', 200000, 50000, -150000, -75.0, -166667): utilidad −$ 150.000, rentabilidad −75,0 %, por hectárea −$ 166.667</t>
        </is>
      </c>
    </row>
  </sheetData>
  <autoFilter ref="A1:H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2026-10-27T14:36:57Z</dcterms:created>
  <dcterms:modified xmlns:dcterms="http://purl.org/dc/terms/" xmlns:xsi="http://www.w3.org/2001/XMLSchema-instance" xsi:type="dcterms:W3CDTF">2026-10-28T06:58:52Z</dcterms:modified>
</cp:coreProperties>
</file>