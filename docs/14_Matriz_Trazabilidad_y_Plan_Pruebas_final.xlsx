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RF" sheetId="2" state="visible" r:id="rId4"/>
    <sheet name="RNF" sheetId="3" state="visible" r:id="rId5"/>
    <sheet name="Validaciones" sheetId="4" state="visible" r:id="rId6"/>
    <sheet name="Encuesta" sheetId="5" state="visible" r:id="rId7"/>
    <sheet name="Plan_Pruebas" sheetId="6" state="visible" r:id="rId8"/>
    <sheet name="Caja_Blanca" sheetId="7" state="visible" r:id="rId9"/>
  </sheets>
  <definedNames>
    <definedName function="false" hidden="true" localSheetId="6" name="_xlnm._FilterDatabase" vbProcedure="false">Caja_Blanca!$A$1:$H$29</definedName>
    <definedName function="false" hidden="true" localSheetId="4" name="_xlnm._FilterDatabase" vbProcedure="false">Encuesta!$A$1:$E$20</definedName>
    <definedName function="false" hidden="true" localSheetId="5" name="_xlnm._FilterDatabase" vbProcedure="false">Plan_Pruebas!$A$1:$G$230</definedName>
    <definedName function="false" hidden="true" localSheetId="1" name="_xlnm._FilterDatabase" vbProcedure="false">RF!$A$1:$H$20</definedName>
    <definedName function="false" hidden="true" localSheetId="2" name="_xlnm._FilterDatabase" vbProcedure="false">RNF!$A$1:$F$13</definedName>
    <definedName function="false" hidden="true" localSheetId="3" name="_xlnm._FilterDatabase" vbProcedure="false">Validaciones!$A$1:$H$51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<sst xmlns="http://schemas.openxmlformats.org/spreadsheetml/2006/main" count="2629" uniqueCount="1599">
  <si>
    <t xml:space="preserve">Sembrando Futuro — Matriz de trazabilidad y plan de pruebas (versión final)</t>
  </si>
  <si>
    <t xml:space="preserve">Base: ERS, con 19 requisitos funcionales y 12 requisitos no funcionales. Los resultados de cada prueba se registran en la hoja Plan_Pruebas.</t>
  </si>
  <si>
    <t xml:space="preserve">Indicador</t>
  </si>
  <si>
    <t xml:space="preserve">Valor</t>
  </si>
  <si>
    <t xml:space="preserve">Requisitos funcionales</t>
  </si>
  <si>
    <t xml:space="preserve">RF con criterio de aceptación</t>
  </si>
  <si>
    <t xml:space="preserve">Requisitos no funcionales</t>
  </si>
  <si>
    <t xml:space="preserve">RNF con método de verificación</t>
  </si>
  <si>
    <t xml:space="preserve">Preguntas de encuesta trazadas</t>
  </si>
  <si>
    <t xml:space="preserve">Casos de prueba definidos</t>
  </si>
  <si>
    <t xml:space="preserve">Casos de caja negra aprobados</t>
  </si>
  <si>
    <t xml:space="preserve">Casos de caja negra fallidos</t>
  </si>
  <si>
    <t xml:space="preserve">Casos de caja negra pendientes</t>
  </si>
  <si>
    <t xml:space="preserve">Caja blanca aprobados</t>
  </si>
  <si>
    <t xml:space="preserve">Caja blanca fallidos</t>
  </si>
  <si>
    <t xml:space="preserve">Caja blanca pendientes</t>
  </si>
  <si>
    <t xml:space="preserve">Última ejecución del plan</t>
  </si>
  <si>
    <t xml:space="preserve">2026-10-29</t>
  </si>
  <si>
    <t xml:space="preserve">ID</t>
  </si>
  <si>
    <t xml:space="preserve">Requisito</t>
  </si>
  <si>
    <t xml:space="preserve">Prioridad</t>
  </si>
  <si>
    <t xml:space="preserve">Caso de uso</t>
  </si>
  <si>
    <t xml:space="preserve">Diagramas</t>
  </si>
  <si>
    <t xml:space="preserve">RNF asociados</t>
  </si>
  <si>
    <t xml:space="preserve">Criterio de aceptación / prueba</t>
  </si>
  <si>
    <t xml:space="preserve">Entidad o clase</t>
  </si>
  <si>
    <t xml:space="preserve">RF-01</t>
  </si>
  <si>
    <t xml:space="preserve">Crear la cuenta de Administrador único con clave segura (OWASP ASVS)</t>
  </si>
  <si>
    <t xml:space="preserve">Alta</t>
  </si>
  <si>
    <t xml:space="preserve">CU-05</t>
  </si>
  <si>
    <t xml:space="preserve">DA-01, DS-05, DE-01</t>
  </si>
  <si>
    <t xml:space="preserve">RNF-14, RNF-16</t>
  </si>
  <si>
    <t xml:space="preserve">Caja negra, tabla de decisión: primer admin aceptado; segundo admin rechazado; clave débil rechazada</t>
  </si>
  <si>
    <t xml:space="preserve">USUARIO (rol ADMIN único)</t>
  </si>
  <si>
    <t xml:space="preserve">RF-02</t>
  </si>
  <si>
    <t xml:space="preserve">Registrar usuario (agricultor) con validaciones de seguridad y clave segura</t>
  </si>
  <si>
    <t xml:space="preserve">CU-01</t>
  </si>
  <si>
    <t xml:space="preserve">DA-01, DS-01, DE-01</t>
  </si>
  <si>
    <t xml:space="preserve">RNF-05, RNF-09, RNF-16, RNF-17</t>
  </si>
  <si>
    <t xml:space="preserve">Particiones y valores límite: clave de 9/10/11 caracteres; correo válido e inválido; nombre '0' y 'aaaaa'; OTP a los 14:59 y 15:01 min; 5 intentos; 3 reenvíos; cambio de correo; cuenta pendiente a las 24 h</t>
  </si>
  <si>
    <t xml:space="preserve">USUARIO, OTP</t>
  </si>
  <si>
    <t xml:space="preserve">RF-03</t>
  </si>
  <si>
    <t xml:space="preserve">Iniciar sesión con correo y clave segura, con sesión persistente</t>
  </si>
  <si>
    <t xml:space="preserve">CU-02</t>
  </si>
  <si>
    <t xml:space="preserve">DA-01, DS-02, DE-01</t>
  </si>
  <si>
    <t xml:space="preserve">RNF-16</t>
  </si>
  <si>
    <t xml:space="preserve">Valores límite: 4 y 5 intentos fallidos; sesión en el día 29, 30 y 31; doble clic en el botón; cuenta pendiente</t>
  </si>
  <si>
    <t xml:space="preserve">USUARIO</t>
  </si>
  <si>
    <t xml:space="preserve">RF-04</t>
  </si>
  <si>
    <t xml:space="preserve">Cerrar sesión</t>
  </si>
  <si>
    <t xml:space="preserve">Media</t>
  </si>
  <si>
    <t xml:space="preserve">DA-01, DS-02</t>
  </si>
  <si>
    <t xml:space="preserve">RNF-11, RNF-15</t>
  </si>
  <si>
    <t xml:space="preserve">Caja negra: cerrar sesión con registros PENDIENTES conserva los datos locales y avisa la cantidad</t>
  </si>
  <si>
    <t xml:space="preserve">USUARIO (sesión)</t>
  </si>
  <si>
    <t xml:space="preserve">RF-07</t>
  </si>
  <si>
    <t xml:space="preserve">Mostrar el panel de control del agricultor</t>
  </si>
  <si>
    <t xml:space="preserve">CU-07</t>
  </si>
  <si>
    <t xml:space="preserve">DA-01, DA-02</t>
  </si>
  <si>
    <t xml:space="preserve">RNF-07</t>
  </si>
  <si>
    <t xml:space="preserve">Caja negra: panel vacío con bienvenida; panel con indicadores; indicador de conexión</t>
  </si>
  <si>
    <t xml:space="preserve">(pantalla)</t>
  </si>
  <si>
    <t xml:space="preserve">RF-12</t>
  </si>
  <si>
    <t xml:space="preserve">Registrar finca</t>
  </si>
  <si>
    <t xml:space="preserve">CU-06</t>
  </si>
  <si>
    <t xml:space="preserve">DA-02, DC-01, MER</t>
  </si>
  <si>
    <t xml:space="preserve">RNF-09, RNF-22</t>
  </si>
  <si>
    <t xml:space="preserve">Caja negra: crear una finca con nombre válido; nombre basura (0, aaaaa) rechazado; una finca no se elimina (E-11); el registro sin conexión queda pendiente</t>
  </si>
  <si>
    <t xml:space="preserve">FINCA</t>
  </si>
  <si>
    <t xml:space="preserve">RF-13</t>
  </si>
  <si>
    <t xml:space="preserve">Definir el área real del ciclo</t>
  </si>
  <si>
    <t xml:space="preserve">DA-02, DC-01</t>
  </si>
  <si>
    <t xml:space="preserve">RNF-22</t>
  </si>
  <si>
    <t xml:space="preserve">Valores límite: no sembrable = bruta − 0,0001 / = bruta / &gt; bruta; conversión 1 plaza = 0,64 ha</t>
  </si>
  <si>
    <t xml:space="preserve">CICLO</t>
  </si>
  <si>
    <t xml:space="preserve">RF-14</t>
  </si>
  <si>
    <t xml:space="preserve">Registrar un ciclo de cultivo</t>
  </si>
  <si>
    <t xml:space="preserve">DA-02, DE-02, MER</t>
  </si>
  <si>
    <t xml:space="preserve">RNF-01, RNF-11</t>
  </si>
  <si>
    <t xml:space="preserve">Valores límite del área (0,0001 / 0,00009 / 10.000 / 10.000,0001 ha) y de la vigencia (0 / 1 / 50 / 51 años); caja negra: ciclo sin cultivo se rechaza, varios cultivos por ciclo, cultivo repetido rechazado (V-50); semáforo de vigencia; estado inicial ACTIVO</t>
  </si>
  <si>
    <t xml:space="preserve">CICLO, CICLO_CULTIVO</t>
  </si>
  <si>
    <t xml:space="preserve">RF-15</t>
  </si>
  <si>
    <t xml:space="preserve">Cerrar un ciclo de cultivo</t>
  </si>
  <si>
    <t xml:space="preserve">DA-02, DE-02</t>
  </si>
  <si>
    <t xml:space="preserve">RNF-09, RNF-11</t>
  </si>
  <si>
    <t xml:space="preserve">Tabla de decisión: cierre con/sin ingresos; fecha de cierre anterior a la siembra rechazada</t>
  </si>
  <si>
    <t xml:space="preserve">RF-17</t>
  </si>
  <si>
    <t xml:space="preserve">Consultar el catálogo de cultivos y distancias</t>
  </si>
  <si>
    <t xml:space="preserve">CU-03</t>
  </si>
  <si>
    <t xml:space="preserve">DA-02, DS-03</t>
  </si>
  <si>
    <t xml:space="preserve">RNF-10</t>
  </si>
  <si>
    <t xml:space="preserve">Caja negra: catálogo y fichas técnicas disponibles sin conexión después de la primera carga; la ficha trae también datos de cosecha de referencia y precio en pesos colombianos</t>
  </si>
  <si>
    <t xml:space="preserve">CULTIVO, FICHA_TECNICA</t>
  </si>
  <si>
    <t xml:space="preserve">RF-18</t>
  </si>
  <si>
    <t xml:space="preserve">Calcular matas por hectárea y advertir distancias fuera de rango</t>
  </si>
  <si>
    <t xml:space="preserve">DA-02, DS-03, DC-01</t>
  </si>
  <si>
    <t xml:space="preserve">RNF-01, RNF-22</t>
  </si>
  <si>
    <t xml:space="preserve">Valores oráculo: cuadrado d=1 → 10.000; rectangular 2×1,5 → 3.333,34; tresbolillo d=3 → 1.283,01; advertencia fuera de rango; proyección de cosecha: café 4.000 matas → 10 cargas y $ 22.200.000; redondeo siempre hacia arriba</t>
  </si>
  <si>
    <t xml:space="preserve">CalculadoraDensidad</t>
  </si>
  <si>
    <t xml:space="preserve">RF-23</t>
  </si>
  <si>
    <t xml:space="preserve">Registrar un gasto</t>
  </si>
  <si>
    <t xml:space="preserve">CU-04</t>
  </si>
  <si>
    <t xml:space="preserve">DA-02, DS-04, MER</t>
  </si>
  <si>
    <t xml:space="preserve">RNF-10, RNF-11</t>
  </si>
  <si>
    <t xml:space="preserve">Valores límite del monto: 0 / 1 / 50.000.000 / 50.000.001 COP; '1e5' y '-5' rechazados</t>
  </si>
  <si>
    <t xml:space="preserve">GASTO</t>
  </si>
  <si>
    <t xml:space="preserve">RF-24</t>
  </si>
  <si>
    <t xml:space="preserve">Registrar jornales</t>
  </si>
  <si>
    <t xml:space="preserve">Valores límite: 0,4 / 0,5 / 1,25 (inválido) / 999 / 999,5 jornales; total = jornales × valor</t>
  </si>
  <si>
    <t xml:space="preserve">JORNAL</t>
  </si>
  <si>
    <t xml:space="preserve">RF-25</t>
  </si>
  <si>
    <t xml:space="preserve">Registrar un ingreso</t>
  </si>
  <si>
    <t xml:space="preserve">Valores límite de la cantidad: 0,09 / 0,1 / 10.000 / 10.001; precio 0 / 1 / 50.000.000 / 50.000.001</t>
  </si>
  <si>
    <t xml:space="preserve">INGRESO</t>
  </si>
  <si>
    <t xml:space="preserve">RF-27</t>
  </si>
  <si>
    <t xml:space="preserve">Editar y eliminar registros</t>
  </si>
  <si>
    <t xml:space="preserve">DA-02, DS-04</t>
  </si>
  <si>
    <t xml:space="preserve">Caja negra: eliminar y deshacer a los 9 / 10 / 11 s; recálculo de saldos</t>
  </si>
  <si>
    <t xml:space="preserve">GASTO, JORNAL, INGRESO</t>
  </si>
  <si>
    <t xml:space="preserve">RF-28</t>
  </si>
  <si>
    <t xml:space="preserve">Calcular la utilidad automáticamente</t>
  </si>
  <si>
    <t xml:space="preserve">Valores oráculo: 1.000.000 − 600.000 = 400.000 (66,67 %); gastos 0 → rentabilidad 0,0 %; estimado de costos con la ficha técnica y semáforo de vigencia en el resumen</t>
  </si>
  <si>
    <t xml:space="preserve">Ciclo.utilidad()</t>
  </si>
  <si>
    <t xml:space="preserve">RF-35</t>
  </si>
  <si>
    <t xml:space="preserve">Operar sin conexión</t>
  </si>
  <si>
    <t xml:space="preserve">DA-03, DE-03, DS-04, DCP-01</t>
  </si>
  <si>
    <t xml:space="preserve">Caja negra: modo avión → registrar → cerrar pestaña → reabrir: 0 % de pérdida</t>
  </si>
  <si>
    <t xml:space="preserve">IndexedDB (envoltorio propio)</t>
  </si>
  <si>
    <t xml:space="preserve">RF-36</t>
  </si>
  <si>
    <t xml:space="preserve">Sincronizar los datos</t>
  </si>
  <si>
    <t xml:space="preserve">DA-03, DE-03, DS-04</t>
  </si>
  <si>
    <t xml:space="preserve">RNF-11</t>
  </si>
  <si>
    <t xml:space="preserve">Caso: corte a mitad del envío → sin duplicados (uuid); conflicto: gana el updated_at más reciente</t>
  </si>
  <si>
    <t xml:space="preserve">SincronizadorOffline</t>
  </si>
  <si>
    <t xml:space="preserve">RF-37</t>
  </si>
  <si>
    <t xml:space="preserve">Carga inicial de datos semilla del catálogo agrícola del Cauca</t>
  </si>
  <si>
    <t xml:space="preserve">MER, DCP-01, DS-05</t>
  </si>
  <si>
    <t xml:space="preserve">RNF-05</t>
  </si>
  <si>
    <t xml:space="preserve">Caja negra: los 3 cultivos semilla con su ficha técnica existen en MySQL y en IndexedDB; cargar dos veces no duplica</t>
  </si>
  <si>
    <t xml:space="preserve">Característica ISO/IEC 25010 (norma de calidad)</t>
  </si>
  <si>
    <t xml:space="preserve">Criterio de aceptación</t>
  </si>
  <si>
    <t xml:space="preserve">Método de verificación</t>
  </si>
  <si>
    <t xml:space="preserve">RNF-01</t>
  </si>
  <si>
    <t xml:space="preserve">Tiempo de respuesta de los cálculos</t>
  </si>
  <si>
    <t xml:space="preserve">Eficiencia de desempeño</t>
  </si>
  <si>
    <t xml:space="preserve">Tiempo de ejecución ≤ 2,0 s en el 95 % de las pruebas locales.</t>
  </si>
  <si>
    <t xml:space="preserve">Prueba de rendimiento (performance.now) en equipo de 2 GB de RAM</t>
  </si>
  <si>
    <t xml:space="preserve">Facilidad de aprendizaje</t>
  </si>
  <si>
    <t xml:space="preserve">Usabilidad</t>
  </si>
  <si>
    <t xml:space="preserve">Tasa de éxito ≥ 90 % en pruebas de usabilidad con productores rurales.</t>
  </si>
  <si>
    <t xml:space="preserve">Prueba de usabilidad con al menos 5 agricultores</t>
  </si>
  <si>
    <t xml:space="preserve">Legibilidad y accesibilidad visual</t>
  </si>
  <si>
    <t xml:space="preserve">Usabilidad (accesibilidad)</t>
  </si>
  <si>
    <t xml:space="preserve">Cumplimiento de WCAG 2.1 AA en todas las pantallas.</t>
  </si>
  <si>
    <t xml:space="preserve">Lighthouse de accesibilidad y revisión WCAG 2.1 AA</t>
  </si>
  <si>
    <t xml:space="preserve">RNF-09</t>
  </si>
  <si>
    <t xml:space="preserve">Prevención de errores, sanitización y validación estricta de entradas (Anti-Basura, Anti-XSS y Anti-SQLi)</t>
  </si>
  <si>
    <t xml:space="preserve">Seguridad</t>
  </si>
  <si>
    <t xml:space="preserve">100% de los formularios protegidos con Trim(), lista blanca Regex, anti-monotonía, debouncing y validación estricta cliente/servidor.</t>
  </si>
  <si>
    <t xml:space="preserve">Caja negra de formularios y escaneo OWASP ZAP</t>
  </si>
  <si>
    <t xml:space="preserve">Disponibilidad</t>
  </si>
  <si>
    <t xml:space="preserve">Fiabilidad (disponibilidad)</t>
  </si>
  <si>
    <t xml:space="preserve">100 % de funciones locales disponibles sin conexión; inactividad del servidor ≤ 7,2 horas al mes (SLA 99,0 %).</t>
  </si>
  <si>
    <t xml:space="preserve">Prueba en modo sin conexión y monitor externo de disponibilidad (consulta a /api/v1/salud cada 5 minutos)</t>
  </si>
  <si>
    <t xml:space="preserve">Tolerancia a fallos e integridad de datos</t>
  </si>
  <si>
    <t xml:space="preserve">Fiabilidad (tolerancia a fallos)</t>
  </si>
  <si>
    <t xml:space="preserve">0 % de pérdida de registros locales confirmados; 0 % de registros duplicados o corruptos tras una interrupción de red.</t>
  </si>
  <si>
    <t xml:space="preserve">Cierre abrupto y corte de red durante la sincronización</t>
  </si>
  <si>
    <t xml:space="preserve">RNF-14</t>
  </si>
  <si>
    <t xml:space="preserve">Confidencialidad de la información y sanitización de consultas (Anti-SQLi y Anti-XSS)</t>
  </si>
  <si>
    <t xml:space="preserve">Seguridad (confidencialidad)</t>
  </si>
  <si>
    <t xml:space="preserve">0% de vulnerabilidades SQLi/XSS y 100% de tráfico cifrado bajo HTTPS/TLS 1.2+.</t>
  </si>
  <si>
    <t xml:space="preserve">SSL Labs y OWASP ZAP; revisión de consultas ORM</t>
  </si>
  <si>
    <t xml:space="preserve">RNF-15</t>
  </si>
  <si>
    <t xml:space="preserve">Control de acceso y aislamiento de datos</t>
  </si>
  <si>
    <t xml:space="preserve">Seguridad (autenticidad)</t>
  </si>
  <si>
    <t xml:space="preserve">Bloqueo del 100 % de las peticiones no autorizadas; 0 % de datos identificables en reportes agregados.</t>
  </si>
  <si>
    <t xml:space="preserve">Pruebas de autorización por rol y revisión de los servicios de administración (AD)</t>
  </si>
  <si>
    <t xml:space="preserve">Política de contraseñas seguras (Estándar OWASP ASVS / ISO 27001)</t>
  </si>
  <si>
    <t xml:space="preserve">Rechazo automático en cliente y servidor del 100% de contraseñas que no cumplan la política OWASP ASVS / ISO 27001.</t>
  </si>
  <si>
    <t xml:space="preserve">Particiones de equivalencia y valores límite sobre claves</t>
  </si>
  <si>
    <t xml:space="preserve">RNF-17</t>
  </si>
  <si>
    <t xml:space="preserve">Protección de datos personales</t>
  </si>
  <si>
    <t xml:space="preserve">Seguridad / cumplimiento legal</t>
  </si>
  <si>
    <t xml:space="preserve">Consentimiento registrado obligatoriamente en el proceso de creación de cuenta.</t>
  </si>
  <si>
    <t xml:space="preserve">Registro de cuenta sin aceptar el tratamiento de datos</t>
  </si>
  <si>
    <t xml:space="preserve">Exactitud de los cálculos</t>
  </si>
  <si>
    <t xml:space="preserve">Adecuación funcional (exactitud)</t>
  </si>
  <si>
    <t xml:space="preserve">Error relativo ≤ 0,0001 % frente a las fórmulas teóricas.</t>
  </si>
  <si>
    <t xml:space="preserve">Pruebas unitarias con valores oráculo</t>
  </si>
  <si>
    <t xml:space="preserve">RNF-25</t>
  </si>
  <si>
    <t xml:space="preserve">Manejo Humanizado de Errores y Protección de Trazas Técnicas (UX y Ciberseguridad)</t>
  </si>
  <si>
    <t xml:space="preserve">Seguridad / usabilidad</t>
  </si>
  <si>
    <t xml:space="preserve">0% de trazas técnicas expuestas en interfaz y 100% de mensajes de error traducidos a lenguaje claro.</t>
  </si>
  <si>
    <t xml:space="preserve">Error forzado (500, SQL, red) y revisión de mensajes</t>
  </si>
  <si>
    <t xml:space="preserve">RF</t>
  </si>
  <si>
    <t xml:space="preserve">Pantalla</t>
  </si>
  <si>
    <t xml:space="preserve">Campo</t>
  </si>
  <si>
    <t xml:space="preserve">Regla</t>
  </si>
  <si>
    <t xml:space="preserve">Ejemplo válido</t>
  </si>
  <si>
    <t xml:space="preserve">Ejemplo inválido</t>
  </si>
  <si>
    <t xml:space="preserve">Mensaje de error</t>
  </si>
  <si>
    <t xml:space="preserve">V-01</t>
  </si>
  <si>
    <t xml:space="preserve">Registro</t>
  </si>
  <si>
    <t xml:space="preserve">Nombre</t>
  </si>
  <si>
    <t xml:space="preserve">2 a 60 caracteres; solo letras (con tildes y ñ), espacios, punto y guion; sin más de 3 caracteres iguales seguidos; no se aceptan datos basura ('0', '123', 'test')</t>
  </si>
  <si>
    <t xml:space="preserve">María Pérez</t>
  </si>
  <si>
    <t xml:space="preserve">aaaaa</t>
  </si>
  <si>
    <t xml:space="preserve">Escriba su nombre completo con letras (entre 2 y 60 caracteres).</t>
  </si>
  <si>
    <t xml:space="preserve">V-02</t>
  </si>
  <si>
    <t xml:space="preserve">Ubicación</t>
  </si>
  <si>
    <t xml:space="preserve">3 a 60 caracteres con las mismas reglas de caracteres que el nombre</t>
  </si>
  <si>
    <t xml:space="preserve">Caloto, Cauca</t>
  </si>
  <si>
    <t xml:space="preserve">0</t>
  </si>
  <si>
    <t xml:space="preserve">Escriba el municipio o la vereda (entre 3 y 60 caracteres).</t>
  </si>
  <si>
    <t xml:space="preserve">V-03</t>
  </si>
  <si>
    <t xml:space="preserve">Correo</t>
  </si>
  <si>
    <t xml:space="preserve">Formato RFC 5322 (por ejemplo nombre@correo.com) de hasta 254 caracteres; no distingue mayúsculas de minúsculas, por eso se guarda y se compara en minúsculas</t>
  </si>
  <si>
    <t xml:space="preserve">Maria@Correo.com</t>
  </si>
  <si>
    <t xml:space="preserve">0@0</t>
  </si>
  <si>
    <t xml:space="preserve">Escriba un correo válido, por ejemplo nombre@correo.com.</t>
  </si>
  <si>
    <t xml:space="preserve">V-04</t>
  </si>
  <si>
    <t xml:space="preserve">Confirmar correo</t>
  </si>
  <si>
    <t xml:space="preserve">Debe ser idéntico al correo, sin distinguir mayúsculas de minúsculas</t>
  </si>
  <si>
    <t xml:space="preserve">maria@correo.com</t>
  </si>
  <si>
    <t xml:space="preserve">maria@correo.co</t>
  </si>
  <si>
    <t xml:space="preserve">Los dos correos no coinciden.</t>
  </si>
  <si>
    <t xml:space="preserve">V-05</t>
  </si>
  <si>
    <t xml:space="preserve">Correo ya usado por una cuenta activa</t>
  </si>
  <si>
    <t xml:space="preserve">El correo no puede estar registrado</t>
  </si>
  <si>
    <t xml:space="preserve">ana@correo.com (nuevo)</t>
  </si>
  <si>
    <t xml:space="preserve">maria@correo.com (ya activo)</t>
  </si>
  <si>
    <t xml:space="preserve">Este correo ya está registrado. Inicie sesión.</t>
  </si>
  <si>
    <t xml:space="preserve">V-06</t>
  </si>
  <si>
    <t xml:space="preserve">Correo con cuenta pendiente</t>
  </si>
  <si>
    <t xml:space="preserve">Si la cuenta pendiente tiene menos de 24 horas, no se crea otra</t>
  </si>
  <si>
    <t xml:space="preserve">—</t>
  </si>
  <si>
    <t xml:space="preserve">maria@correo.com (pendiente)</t>
  </si>
  <si>
    <t xml:space="preserve">Este correo tiene una cuenta pendiente de activar. Revise su correo o intente de nuevo después de 24 horas.</t>
  </si>
  <si>
    <t xml:space="preserve">V-07</t>
  </si>
  <si>
    <t xml:space="preserve">Clave</t>
  </si>
  <si>
    <t xml:space="preserve">De 10 a 64 caracteres, solo letras sin tilde, números y símbolos; debe tener mayúscula, minúscula, número y al menos un símbolo de la lista !@#$%^&amp;*()_+-=[]{}|;:,.&lt;&gt;?; sin espacios, sin secuencias simples ni partes del correo o del nombre</t>
  </si>
  <si>
    <t xml:space="preserve">Cafe#Cauca2026</t>
  </si>
  <si>
    <t xml:space="preserve">abcdefghij</t>
  </si>
  <si>
    <t xml:space="preserve">La clave debe tener de 10 a 64 caracteres, con mayúscula, minúscula, número y símbolo (sin espacios ni tildes).</t>
  </si>
  <si>
    <t xml:space="preserve">V-08</t>
  </si>
  <si>
    <t xml:space="preserve">Autorización de datos (Ley 1581)</t>
  </si>
  <si>
    <t xml:space="preserve">La casilla debe estar marcada</t>
  </si>
  <si>
    <t xml:space="preserve">Marcada</t>
  </si>
  <si>
    <t xml:space="preserve">Sin marcar</t>
  </si>
  <si>
    <t xml:space="preserve">Debe aceptar el tratamiento de datos personales para registrarse.</t>
  </si>
  <si>
    <t xml:space="preserve">V-09</t>
  </si>
  <si>
    <t xml:space="preserve">Código OTP</t>
  </si>
  <si>
    <t xml:space="preserve">Formato del código</t>
  </si>
  <si>
    <t xml:space="preserve">Exactamente 6 dígitos</t>
  </si>
  <si>
    <t xml:space="preserve">482915</t>
  </si>
  <si>
    <t xml:space="preserve">48A</t>
  </si>
  <si>
    <t xml:space="preserve">Escriba los 6 dígitos del código.</t>
  </si>
  <si>
    <t xml:space="preserve">V-10</t>
  </si>
  <si>
    <t xml:space="preserve">Código incorrecto</t>
  </si>
  <si>
    <t xml:space="preserve">Hasta 5 intentos por código; muestra los intentos restantes</t>
  </si>
  <si>
    <t xml:space="preserve">Código enviado</t>
  </si>
  <si>
    <t xml:space="preserve">Código distinto al enviado</t>
  </si>
  <si>
    <t xml:space="preserve">Código incorrecto. Le quedan N intentos.</t>
  </si>
  <si>
    <t xml:space="preserve">V-11</t>
  </si>
  <si>
    <t xml:space="preserve">Código vencido</t>
  </si>
  <si>
    <t xml:space="preserve">Vale 15 minutos desde el envío</t>
  </si>
  <si>
    <t xml:space="preserve">A los 14 min 59 s</t>
  </si>
  <si>
    <t xml:space="preserve">A los 15 min 01 s</t>
  </si>
  <si>
    <t xml:space="preserve">El código venció. Pida uno nuevo.</t>
  </si>
  <si>
    <t xml:space="preserve">V-12</t>
  </si>
  <si>
    <t xml:space="preserve">Intentos agotados</t>
  </si>
  <si>
    <t xml:space="preserve">Al 5.º intento fallido el código se invalida</t>
  </si>
  <si>
    <t xml:space="preserve">6.º intento con el mismo código</t>
  </si>
  <si>
    <t xml:space="preserve">Demasiados intentos. Pida un código nuevo.</t>
  </si>
  <si>
    <t xml:space="preserve">V-13</t>
  </si>
  <si>
    <t xml:space="preserve">Espera entre reenvíos</t>
  </si>
  <si>
    <t xml:space="preserve">60 segundos entre un envío y el siguiente</t>
  </si>
  <si>
    <t xml:space="preserve">Reenvío a los 60 s</t>
  </si>
  <si>
    <t xml:space="preserve">Reenvío a los 30 s</t>
  </si>
  <si>
    <t xml:space="preserve">Espere N segundos para pedir otro código.</t>
  </si>
  <si>
    <t xml:space="preserve">V-14</t>
  </si>
  <si>
    <t xml:space="preserve">Máximo de reenvíos</t>
  </si>
  <si>
    <t xml:space="preserve">3 reenvíos por cuenta; cambiar el correo cuenta como un reenvío</t>
  </si>
  <si>
    <t xml:space="preserve">3.er reenvío</t>
  </si>
  <si>
    <t xml:space="preserve">4.º reenvío</t>
  </si>
  <si>
    <t xml:space="preserve">Llegó al máximo de 3 reenvíos. Intente de nuevo después de 24 horas.</t>
  </si>
  <si>
    <t xml:space="preserve">V-15</t>
  </si>
  <si>
    <t xml:space="preserve">Cuenta pendiente de más de 24 horas</t>
  </si>
  <si>
    <t xml:space="preserve">Se elimina automáticamente a las 24 horas</t>
  </si>
  <si>
    <t xml:space="preserve">Activar a las 23 h</t>
  </si>
  <si>
    <t xml:space="preserve">Activar a las 25 h</t>
  </si>
  <si>
    <t xml:space="preserve">La cuenta venció. Regístrese de nuevo.</t>
  </si>
  <si>
    <t xml:space="preserve">V-16</t>
  </si>
  <si>
    <t xml:space="preserve">Inicio de sesión</t>
  </si>
  <si>
    <t xml:space="preserve">Correo y clave vacíos</t>
  </si>
  <si>
    <t xml:space="preserve">Ambos campos son obligatorios</t>
  </si>
  <si>
    <t xml:space="preserve">Ambos escritos</t>
  </si>
  <si>
    <t xml:space="preserve">Clave vacía</t>
  </si>
  <si>
    <t xml:space="preserve">Escriba su correo y su clave.</t>
  </si>
  <si>
    <t xml:space="preserve">V-17</t>
  </si>
  <si>
    <t xml:space="preserve">Credenciales</t>
  </si>
  <si>
    <t xml:space="preserve">El correo (sin distinguir mayúsculas) y la clave deben coincidir con una cuenta</t>
  </si>
  <si>
    <t xml:space="preserve">Correo y clave correctos</t>
  </si>
  <si>
    <t xml:space="preserve">Clave equivocada</t>
  </si>
  <si>
    <t xml:space="preserve">Correo o clave incorrectos.</t>
  </si>
  <si>
    <t xml:space="preserve">V-18</t>
  </si>
  <si>
    <t xml:space="preserve">Bloqueo por intentos</t>
  </si>
  <si>
    <t xml:space="preserve">5 intentos fallidos seguidos bloquean 15 minutos</t>
  </si>
  <si>
    <t xml:space="preserve">4.º intento fallido</t>
  </si>
  <si>
    <t xml:space="preserve">5.º intento fallido</t>
  </si>
  <si>
    <t xml:space="preserve">Cuenta bloqueada por 15 minutos. Intente de nuevo a las HH:MM.</t>
  </si>
  <si>
    <t xml:space="preserve">V-19</t>
  </si>
  <si>
    <t xml:space="preserve">Cuenta pendiente</t>
  </si>
  <si>
    <t xml:space="preserve">La cuenta debe estar ACTIVA para iniciar sesión</t>
  </si>
  <si>
    <t xml:space="preserve">Cuenta activa</t>
  </si>
  <si>
    <t xml:space="preserve">Su cuenta aún no está activada. Ingrese el código que llegó a su correo.</t>
  </si>
  <si>
    <t xml:space="preserve">V-20</t>
  </si>
  <si>
    <t xml:space="preserve">Registros sin enviar</t>
  </si>
  <si>
    <t xml:space="preserve">Con registros PENDIENTES pide confirmación y los conserva; con un solo registro el texto dice «1 registro» y «Se conservará»</t>
  </si>
  <si>
    <t xml:space="preserve">Sin pendientes</t>
  </si>
  <si>
    <t xml:space="preserve">3 pendientes</t>
  </si>
  <si>
    <t xml:space="preserve">Tiene N registros sin enviar. Se conservarán en este dispositivo. ¿Cerrar sesión?</t>
  </si>
  <si>
    <t xml:space="preserve">V-21</t>
  </si>
  <si>
    <t xml:space="preserve">Servidor (comando crear_admin)</t>
  </si>
  <si>
    <t xml:space="preserve">Segundo administrador</t>
  </si>
  <si>
    <t xml:space="preserve">Solo puede existir una cuenta ADMIN</t>
  </si>
  <si>
    <t xml:space="preserve">Primer administrador</t>
  </si>
  <si>
    <t xml:space="preserve">Ya existe un administrador.</t>
  </si>
  <si>
    <t xml:space="preserve">V-22</t>
  </si>
  <si>
    <t xml:space="preserve">Finca y ciclo</t>
  </si>
  <si>
    <t xml:space="preserve">Nombre de finca y de lote (opcional)</t>
  </si>
  <si>
    <t xml:space="preserve">2 a 60 caracteres con las reglas de caracteres del nombre</t>
  </si>
  <si>
    <t xml:space="preserve">Lote El Mirador</t>
  </si>
  <si>
    <t xml:space="preserve">Escriba un nombre de 2 a 60 caracteres con letras.</t>
  </si>
  <si>
    <t xml:space="preserve">V-23</t>
  </si>
  <si>
    <t xml:space="preserve">Regla retirada</t>
  </si>
  <si>
    <t xml:space="preserve">Desapareció con la tabla LOTE: el nombre del lote ahora es solo un texto informativo del ciclo y puede repetirse</t>
  </si>
  <si>
    <t xml:space="preserve">-</t>
  </si>
  <si>
    <t xml:space="preserve">(Regla retirada; no se usa)</t>
  </si>
  <si>
    <t xml:space="preserve">V-24</t>
  </si>
  <si>
    <t xml:space="preserve">Ciclo</t>
  </si>
  <si>
    <t xml:space="preserve">Área bruta</t>
  </si>
  <si>
    <t xml:space="preserve">De 0,0001 a 10.000 ha</t>
  </si>
  <si>
    <t xml:space="preserve">1,0</t>
  </si>
  <si>
    <t xml:space="preserve">10.000,0001</t>
  </si>
  <si>
    <t xml:space="preserve">El área debe estar entre 0,0001 y 10.000 hectáreas.</t>
  </si>
  <si>
    <t xml:space="preserve">V-25</t>
  </si>
  <si>
    <t xml:space="preserve">Pendiente</t>
  </si>
  <si>
    <t xml:space="preserve">De 0 a 100 %</t>
  </si>
  <si>
    <t xml:space="preserve">15</t>
  </si>
  <si>
    <t xml:space="preserve">101</t>
  </si>
  <si>
    <t xml:space="preserve">La pendiente debe estar entre 0 y 100 %.</t>
  </si>
  <si>
    <t xml:space="preserve">V-26</t>
  </si>
  <si>
    <t xml:space="preserve">Área no sembrable</t>
  </si>
  <si>
    <t xml:space="preserve">Mayor o igual a 0 y estrictamente menor que el área bruta</t>
  </si>
  <si>
    <t xml:space="preserve">0,1 ha con bruta 1,0</t>
  </si>
  <si>
    <t xml:space="preserve">1,0 ha con bruta 1,0</t>
  </si>
  <si>
    <t xml:space="preserve">El área no sembrable debe ser menor que el área bruta.</t>
  </si>
  <si>
    <t xml:space="preserve">V-27</t>
  </si>
  <si>
    <t xml:space="preserve">Cultivo obligatorio</t>
  </si>
  <si>
    <t xml:space="preserve">Debe elegirse un cultivo del catálogo; un ciclo trae al menos uno</t>
  </si>
  <si>
    <t xml:space="preserve">Café</t>
  </si>
  <si>
    <t xml:space="preserve">Sin cultivo</t>
  </si>
  <si>
    <t xml:space="preserve">Seleccione un cultivo.</t>
  </si>
  <si>
    <t xml:space="preserve">V-28</t>
  </si>
  <si>
    <t xml:space="preserve">Ciclo, gastos, jornales e ingresos</t>
  </si>
  <si>
    <t xml:space="preserve">Formato de fecha</t>
  </si>
  <si>
    <t xml:space="preserve">Fecha que existe en el calendario, elegida con el selector de fecha del dispositivo (se guarda como AAAA-MM-DD); si se escribe a mano también se acepta día/mes/año</t>
  </si>
  <si>
    <t xml:space="preserve">15/11/2026</t>
  </si>
  <si>
    <t xml:space="preserve">31/02/2026</t>
  </si>
  <si>
    <t xml:space="preserve">Elija una fecha válida del calendario.</t>
  </si>
  <si>
    <t xml:space="preserve">V-29</t>
  </si>
  <si>
    <t xml:space="preserve">Fecha de cierre</t>
  </si>
  <si>
    <t xml:space="preserve">No puede ser anterior a la fecha de siembra ni posterior a hoy</t>
  </si>
  <si>
    <t xml:space="preserve">Igual a la siembra (con siembra de hoy o anterior)</t>
  </si>
  <si>
    <t xml:space="preserve">Un día antes de la siembra</t>
  </si>
  <si>
    <t xml:space="preserve">La fecha de cierre no puede ser anterior a la de siembra ni posterior a hoy.</t>
  </si>
  <si>
    <t xml:space="preserve">V-30</t>
  </si>
  <si>
    <t xml:space="preserve">Cierre sin ingresos</t>
  </si>
  <si>
    <t xml:space="preserve">Pide confirmación adicional; si confirma, cierra</t>
  </si>
  <si>
    <t xml:space="preserve">Ciclo con ingresos</t>
  </si>
  <si>
    <t xml:space="preserve">Ciclo sin ingresos</t>
  </si>
  <si>
    <t xml:space="preserve">Este ciclo no tiene ingresos. ¿Desea cerrarlo de todos modos?</t>
  </si>
  <si>
    <t xml:space="preserve">V-31</t>
  </si>
  <si>
    <t xml:space="preserve">Registro en ciclo cerrado</t>
  </si>
  <si>
    <t xml:space="preserve">Un ciclo CERRADO no admite nuevos registros</t>
  </si>
  <si>
    <t xml:space="preserve">Ciclo activo</t>
  </si>
  <si>
    <t xml:space="preserve">Ciclo cerrado</t>
  </si>
  <si>
    <t xml:space="preserve">Este ciclo está cerrado y no admite nuevos registros.</t>
  </si>
  <si>
    <t xml:space="preserve">V-32</t>
  </si>
  <si>
    <t xml:space="preserve">Cálculo de matas</t>
  </si>
  <si>
    <t xml:space="preserve">Marco de siembra</t>
  </si>
  <si>
    <t xml:space="preserve">Obligatorio: cuadrado, rectangular o tresbolillo</t>
  </si>
  <si>
    <t xml:space="preserve">Cuadrado</t>
  </si>
  <si>
    <t xml:space="preserve">Sin elegir</t>
  </si>
  <si>
    <t xml:space="preserve">Elija el marco de siembra.</t>
  </si>
  <si>
    <t xml:space="preserve">V-33</t>
  </si>
  <si>
    <t xml:space="preserve">Distancias</t>
  </si>
  <si>
    <t xml:space="preserve">De 0,01 a 10 metros</t>
  </si>
  <si>
    <t xml:space="preserve">1,5</t>
  </si>
  <si>
    <t xml:space="preserve">La distancia debe estar entre 0,01 y 10 metros.</t>
  </si>
  <si>
    <t xml:space="preserve">V-34</t>
  </si>
  <si>
    <t xml:space="preserve">Distancia fuera del rango del cultivo</t>
  </si>
  <si>
    <t xml:space="preserve">Es una advertencia: no bloquea el cálculo</t>
  </si>
  <si>
    <t xml:space="preserve">Dentro del rango</t>
  </si>
  <si>
    <t xml:space="preserve">Menor que el mínimo del catálogo</t>
  </si>
  <si>
    <t xml:space="preserve">Advertencia: la distancia está fuera del rango recomendado (mín.–máx. m). Puede continuar, pero la producción puede verse afectada.</t>
  </si>
  <si>
    <t xml:space="preserve">V-35</t>
  </si>
  <si>
    <t xml:space="preserve">Gasto</t>
  </si>
  <si>
    <t xml:space="preserve">De $1 a $50.000.000, solo números</t>
  </si>
  <si>
    <t xml:space="preserve">150000</t>
  </si>
  <si>
    <t xml:space="preserve">50000001</t>
  </si>
  <si>
    <t xml:space="preserve">El valor debe estar entre $1 y $50.000.000.</t>
  </si>
  <si>
    <t xml:space="preserve">V-36</t>
  </si>
  <si>
    <t xml:space="preserve">Formato del valor</t>
  </si>
  <si>
    <t xml:space="preserve">Solo dígitos; se rechazan letras, signos y notación científica</t>
  </si>
  <si>
    <t xml:space="preserve">1e5</t>
  </si>
  <si>
    <t xml:space="preserve">Escriba solo números.</t>
  </si>
  <si>
    <t xml:space="preserve">V-37</t>
  </si>
  <si>
    <t xml:space="preserve">Categoría</t>
  </si>
  <si>
    <t xml:space="preserve">Obligatoria: semillas, abonos, agroquímicos, herramientas, transporte u otros</t>
  </si>
  <si>
    <t xml:space="preserve">Abonos</t>
  </si>
  <si>
    <t xml:space="preserve">Elija una categoría.</t>
  </si>
  <si>
    <t xml:space="preserve">V-38</t>
  </si>
  <si>
    <t xml:space="preserve">Observaciones</t>
  </si>
  <si>
    <t xml:space="preserve">Hasta 150 caracteres; solo letras, números, espacios y los signos . , -</t>
  </si>
  <si>
    <t xml:space="preserve">Abono para el ciclo 1</t>
  </si>
  <si>
    <t xml:space="preserve">Texto de 151 caracteres</t>
  </si>
  <si>
    <t xml:space="preserve">Escriba máximo 150 caracteres, solo con letras, números y los signos . , -</t>
  </si>
  <si>
    <t xml:space="preserve">V-39</t>
  </si>
  <si>
    <t xml:space="preserve">Jornales</t>
  </si>
  <si>
    <t xml:space="preserve">Número de jornales</t>
  </si>
  <si>
    <t xml:space="preserve">De 0,5 a 999, de medio en medio</t>
  </si>
  <si>
    <t xml:space="preserve">1,25</t>
  </si>
  <si>
    <t xml:space="preserve">Los jornales deben estar entre 0,5 y 999, de medio en medio.</t>
  </si>
  <si>
    <t xml:space="preserve">V-40</t>
  </si>
  <si>
    <t xml:space="preserve">Valor diario</t>
  </si>
  <si>
    <t xml:space="preserve">Mayor que $0 y máximo $50.000.000</t>
  </si>
  <si>
    <t xml:space="preserve">60000</t>
  </si>
  <si>
    <t xml:space="preserve">El valor del jornal debe ser mayor que $0.</t>
  </si>
  <si>
    <t xml:space="preserve">V-41</t>
  </si>
  <si>
    <t xml:space="preserve">Ingreso</t>
  </si>
  <si>
    <t xml:space="preserve">Cantidad</t>
  </si>
  <si>
    <t xml:space="preserve">De 0,1 a 10.000 en la unidad comercial del cultivo</t>
  </si>
  <si>
    <t xml:space="preserve">25</t>
  </si>
  <si>
    <t xml:space="preserve">10001</t>
  </si>
  <si>
    <t xml:space="preserve">La cantidad debe estar entre 0,1 y 10.000.</t>
  </si>
  <si>
    <t xml:space="preserve">V-42</t>
  </si>
  <si>
    <t xml:space="preserve">Precio unitario</t>
  </si>
  <si>
    <t xml:space="preserve">De $1 a $50.000.000</t>
  </si>
  <si>
    <t xml:space="preserve">180000</t>
  </si>
  <si>
    <t xml:space="preserve">El precio debe estar entre $1 y $50.000.000.</t>
  </si>
  <si>
    <t xml:space="preserve">V-43</t>
  </si>
  <si>
    <t xml:space="preserve">Editar o eliminar</t>
  </si>
  <si>
    <t xml:space="preserve">Deshacer</t>
  </si>
  <si>
    <t xml:space="preserve">Disponible 10 segundos después de eliminar</t>
  </si>
  <si>
    <t xml:space="preserve">A los 10 s</t>
  </si>
  <si>
    <t xml:space="preserve">A los 11 s</t>
  </si>
  <si>
    <t xml:space="preserve">Ya no se puede deshacer.</t>
  </si>
  <si>
    <t xml:space="preserve">V-44</t>
  </si>
  <si>
    <t xml:space="preserve">Sincronización</t>
  </si>
  <si>
    <t xml:space="preserve">Sin conexión</t>
  </si>
  <si>
    <t xml:space="preserve">Los datos se guardan en el dispositivo</t>
  </si>
  <si>
    <t xml:space="preserve">Con conexión</t>
  </si>
  <si>
    <t xml:space="preserve">Sin conexión: sus datos están guardados en este dispositivo y se enviarán solos.</t>
  </si>
  <si>
    <t xml:space="preserve">V-45</t>
  </si>
  <si>
    <t xml:space="preserve">Falla del servidor</t>
  </si>
  <si>
    <t xml:space="preserve">Los registros siguen PENDIENTES y se reintenta</t>
  </si>
  <si>
    <t xml:space="preserve">Envío correcto</t>
  </si>
  <si>
    <t xml:space="preserve">Error del servidor</t>
  </si>
  <si>
    <t xml:space="preserve">No pudimos enviar sus datos ahora. Lo intentaremos de nuevo.</t>
  </si>
  <si>
    <t xml:space="preserve">V-46</t>
  </si>
  <si>
    <t xml:space="preserve">Sesión vencida</t>
  </si>
  <si>
    <t xml:space="preserve">Pide iniciar sesión; los datos locales se conservan</t>
  </si>
  <si>
    <t xml:space="preserve">Sesión vigente</t>
  </si>
  <si>
    <t xml:space="preserve">Sesión de más de 30 días</t>
  </si>
  <si>
    <t xml:space="preserve">Su sesión venció. Ingrese de nuevo; sus datos siguen guardados.</t>
  </si>
  <si>
    <t xml:space="preserve">V-47</t>
  </si>
  <si>
    <t xml:space="preserve">Gasto, jornales e ingreso</t>
  </si>
  <si>
    <t xml:space="preserve">Fecha del registro</t>
  </si>
  <si>
    <t xml:space="preserve">No puede ser posterior a hoy ni anterior a la fecha de siembra del ciclo (RF-23, RF-24 y RF-25)</t>
  </si>
  <si>
    <t xml:space="preserve">Hoy</t>
  </si>
  <si>
    <t xml:space="preserve">Mañana</t>
  </si>
  <si>
    <t xml:space="preserve">La fecha no puede ser posterior a hoy ni anterior a la siembra del ciclo.</t>
  </si>
  <si>
    <t xml:space="preserve">V-48</t>
  </si>
  <si>
    <t xml:space="preserve">Rango de la fecha de siembra</t>
  </si>
  <si>
    <t xml:space="preserve">Entre el 01/01/2020 y un año después de hoy</t>
  </si>
  <si>
    <t xml:space="preserve">01/01/2019</t>
  </si>
  <si>
    <t xml:space="preserve">La fecha de siembra debe estar entre el 01/01/2020 y un año después de hoy.</t>
  </si>
  <si>
    <t xml:space="preserve">V-49</t>
  </si>
  <si>
    <t xml:space="preserve">Vigencia del ciclo en años</t>
  </si>
  <si>
    <t xml:space="preserve">Opcional; entero de 1 a 50 años</t>
  </si>
  <si>
    <t xml:space="preserve">7</t>
  </si>
  <si>
    <t xml:space="preserve">51 o 2,5</t>
  </si>
  <si>
    <t xml:space="preserve">La vigencia debe ser un número entero de años entre 1 y 50.</t>
  </si>
  <si>
    <t xml:space="preserve">V-50</t>
  </si>
  <si>
    <t xml:space="preserve">Cultivo repetido en el ciclo</t>
  </si>
  <si>
    <t xml:space="preserve">Un cultivo solo puede estar una vez en el mismo ciclo</t>
  </si>
  <si>
    <t xml:space="preserve">Plátano (nuevo en el ciclo)</t>
  </si>
  <si>
    <t xml:space="preserve">Café (ya está en el ciclo)</t>
  </si>
  <si>
    <t xml:space="preserve">Este cultivo ya está en el ciclo.</t>
  </si>
  <si>
    <t xml:space="preserve">Pregunta</t>
  </si>
  <si>
    <t xml:space="preserve">Descripción</t>
  </si>
  <si>
    <t xml:space="preserve">Resultado</t>
  </si>
  <si>
    <t xml:space="preserve">Requisitos derivados</t>
  </si>
  <si>
    <t xml:space="preserve">Estado</t>
  </si>
  <si>
    <t xml:space="preserve">Determinación de distancia de siembra</t>
  </si>
  <si>
    <t xml:space="preserve">6/10 por experiencia propia; 3/10 consejo de otros</t>
  </si>
  <si>
    <t xml:space="preserve">RF-17, RF-18</t>
  </si>
  <si>
    <t xml:space="preserve">Cubierto</t>
  </si>
  <si>
    <t xml:space="preserve">Conoce matas/ha exactas</t>
  </si>
  <si>
    <t xml:space="preserve">6 aprox.; 2 no sabe; 2 exacto</t>
  </si>
  <si>
    <t xml:space="preserve">Pérdidas por mala distribución</t>
  </si>
  <si>
    <t xml:space="preserve">8/10 sí</t>
  </si>
  <si>
    <t xml:space="preserve">Utilidad de calcular plantas/ha</t>
  </si>
  <si>
    <t xml:space="preserve">9/10 muy útil</t>
  </si>
  <si>
    <t xml:space="preserve">Lleva registro de gastos</t>
  </si>
  <si>
    <t xml:space="preserve">7/10 no lleva registros</t>
  </si>
  <si>
    <t xml:space="preserve">RF-23, RF-24, RF-27</t>
  </si>
  <si>
    <t xml:space="preserve">Sabe cuánto gana realmente</t>
  </si>
  <si>
    <t xml:space="preserve">7 aprox.; 3 no</t>
  </si>
  <si>
    <t xml:space="preserve">Cálculo automático de utilidad</t>
  </si>
  <si>
    <t xml:space="preserve">8 sí; 2 tal vez</t>
  </si>
  <si>
    <t xml:space="preserve">Teléfono con Internet</t>
  </si>
  <si>
    <t xml:space="preserve">6 siempre; 4 algunas veces</t>
  </si>
  <si>
    <t xml:space="preserve">RNF-10, RF-35, RF-36</t>
  </si>
  <si>
    <t xml:space="preserve">Cubierto (funciona sin conexión)</t>
  </si>
  <si>
    <t xml:space="preserve">Frecuencia de uso de Internet agrícola</t>
  </si>
  <si>
    <t xml:space="preserve">7/10 ocasionalmente; 1 nunca</t>
  </si>
  <si>
    <t xml:space="preserve">RNF-10, RF-35</t>
  </si>
  <si>
    <t xml:space="preserve">Dispositivo principal</t>
  </si>
  <si>
    <t xml:space="preserve">9 Android; 1 iPhone</t>
  </si>
  <si>
    <t xml:space="preserve">RNF-05, RNF-07</t>
  </si>
  <si>
    <t xml:space="preserve">Cubierto; se prueba en Android y en Safari</t>
  </si>
  <si>
    <t xml:space="preserve">Facilidad de aprendizaje esperada</t>
  </si>
  <si>
    <t xml:space="preserve">media alta (5:5, 4:2, 3:2)</t>
  </si>
  <si>
    <t xml:space="preserve">Tiempo máx. aceptable de resultado</t>
  </si>
  <si>
    <t xml:space="preserve">5 &lt;2 s; 2 de 2–5 s; 3 de 5–10 s</t>
  </si>
  <si>
    <t xml:space="preserve">Cubierto (criterio más estricto)</t>
  </si>
  <si>
    <t xml:space="preserve">Importancia de disponibilidad 24 h</t>
  </si>
  <si>
    <t xml:space="preserve">promedio 4,0/5</t>
  </si>
  <si>
    <t xml:space="preserve">Importancia de protección de información</t>
  </si>
  <si>
    <t xml:space="preserve">7 muy importante; 3 poco importante</t>
  </si>
  <si>
    <t xml:space="preserve">RNF-14, RNF-15, RNF-16, RNF-17</t>
  </si>
  <si>
    <t xml:space="preserve">Cubierto (3/10 «poco importante» no reduce requisitos legales)</t>
  </si>
  <si>
    <t xml:space="preserve">Historial de cálculos y registros</t>
  </si>
  <si>
    <t xml:space="preserve">Fuera del alcance del proyecto</t>
  </si>
  <si>
    <t xml:space="preserve">Gravedad si la app falla</t>
  </si>
  <si>
    <t xml:space="preserve">moda 3/5</t>
  </si>
  <si>
    <t xml:space="preserve">RNF-11, RNF-25</t>
  </si>
  <si>
    <t xml:space="preserve">Letra grande y legible</t>
  </si>
  <si>
    <t xml:space="preserve">mayoría 4–5</t>
  </si>
  <si>
    <t xml:space="preserve">Guardar varias cosechas para comparar</t>
  </si>
  <si>
    <t xml:space="preserve">6 sí; 4 tal vez</t>
  </si>
  <si>
    <t xml:space="preserve">Sugerencias abiertas (épocas de luna, manejo de ganancias e inversión)</t>
  </si>
  <si>
    <t xml:space="preserve">texto libre</t>
  </si>
  <si>
    <t xml:space="preserve">Caso</t>
  </si>
  <si>
    <t xml:space="preserve">Técnica</t>
  </si>
  <si>
    <t xml:space="preserve">Entradas / valores</t>
  </si>
  <si>
    <t xml:space="preserve">Resultado esperado</t>
  </si>
  <si>
    <t xml:space="preserve">Resultado obtenido</t>
  </si>
  <si>
    <t xml:space="preserve">CP-RF-01-01</t>
  </si>
  <si>
    <t xml:space="preserve">Tabla de decisión</t>
  </si>
  <si>
    <t xml:space="preserve">Ejecutar crear_admin con correo válido y clave 'Cafe#Cauca2026' sin admin previo</t>
  </si>
  <si>
    <t xml:space="preserve">Cuenta creada con rol ADMIN</t>
  </si>
  <si>
    <t xml:space="preserve">Aprobado</t>
  </si>
  <si>
    <t xml:space="preserve">crear_admin con la clave «Cafe#Cauca2026»: cuenta creada con rol ADMIN y la clave guardada como hash</t>
  </si>
  <si>
    <t xml:space="preserve">CP-RF-01-02</t>
  </si>
  <si>
    <t xml:space="preserve">Ejecutar crear_admin cuando ya existe un administrador</t>
  </si>
  <si>
    <t xml:space="preserve">Se rechaza; sigue habiendo un solo administrador</t>
  </si>
  <si>
    <t xml:space="preserve">Segundo crear_admin rechazado («Ya existe un administrador.»); sigue habiendo 1 solo ADMIN</t>
  </si>
  <si>
    <t xml:space="preserve">CP-RF-01-03</t>
  </si>
  <si>
    <t xml:space="preserve">Valores límite</t>
  </si>
  <si>
    <t xml:space="preserve">crear_admin con clave de 9 caracteres (Abcdef#12)</t>
  </si>
  <si>
    <t xml:space="preserve">Se rechaza por clave corta</t>
  </si>
  <si>
    <t xml:space="preserve">Clave de 9 caracteres «Abcdef#12»: rechazada («La clave debe tener de 10 a 64 caracteres, con mayúscula, minúscula, número y símbolo (sin espacios ni tildes).»); no se crea la cuenta</t>
  </si>
  <si>
    <t xml:space="preserve">CP-RF-01-04</t>
  </si>
  <si>
    <t xml:space="preserve">Caja negra</t>
  </si>
  <si>
    <t xml:space="preserve">Intentar registrar un administrador desde la pantalla pública de registro</t>
  </si>
  <si>
    <t xml:space="preserve">No existe opción; solo se crean agricultores</t>
  </si>
  <si>
    <t xml:space="preserve">Servidor: Registro público con el campo rol = ADMIN: se ignoró el campo rol; la cuenta queda como AGRICULTOR. La pantalla no ofrece elegir rol (e2e_plan.cjs) | Pantalla: el formulario de registro no tiene campo ni opción de rol (0 listas desplegables, sin la palabra «administrador»)</t>
  </si>
  <si>
    <t xml:space="preserve">CP-RF-01-05</t>
  </si>
  <si>
    <t xml:space="preserve">Iniciar sesión en la aplicación con la cuenta de administrador</t>
  </si>
  <si>
    <t xml:space="preserve">No se guarda la sesión ni se abre el panel; aparece el aviso para usar los comandos de administración del servidor</t>
  </si>
  <si>
    <t xml:space="preserve">El administrador no puede abrir sesión en la aplicación: aviso «Esta cuenta es de administración y no tiene pantallas en la aplicación. Use los comandos de administración del servidor.»; no se guarda la sesión ni se abre el panel</t>
  </si>
  <si>
    <t xml:space="preserve">CP-RF-01-06</t>
  </si>
  <si>
    <t xml:space="preserve">AD-01 (GET /admin/usuarios) con token de administrador, con token de agricultor y sin token</t>
  </si>
  <si>
    <t xml:space="preserve">200 con la lista; 403 E-06; 401 V-46</t>
  </si>
  <si>
    <t xml:space="preserve">AD-01: administrador 200 con lista (1 cuentas); agricultor 403 E-06; sin token 401 V-46</t>
  </si>
  <si>
    <t xml:space="preserve">CP-RF-01-07</t>
  </si>
  <si>
    <t xml:space="preserve">AD-02: restablecer la clave de un agricultor con 'Nueva#Clave2026' y con 'abc'</t>
  </si>
  <si>
    <t xml:space="preserve">La válida cambia la clave, revoca sus sesiones y quita el bloqueo; 'abc' se rechaza con V-07</t>
  </si>
  <si>
    <t xml:space="preserve">AD-02: «abc» rechazada con V-07; «Nueva#Clave2026» da 204, revoca la sesión anterior (401), quita el bloqueo y permite ingresar (200)</t>
  </si>
  <si>
    <t xml:space="preserve">CP-RF-01-08</t>
  </si>
  <si>
    <t xml:space="preserve">AD-03: eliminar un agricultor con fincas; luego la cuenta del administrador y una cuenta que no existe</t>
  </si>
  <si>
    <t xml:space="preserve">La primera se elimina con todos sus datos (204); la del administrador da 409 E-09; la inexistente 404 E-07</t>
  </si>
  <si>
    <t xml:space="preserve">AD-03: agricultor con fincas eliminado (204); administrador 409 E-09; cuenta inexistente 404 E-07</t>
  </si>
  <si>
    <t xml:space="preserve">CP-RF-01-09</t>
  </si>
  <si>
    <t xml:space="preserve">AD-05 con el token de administrador sobre la cuenta de María Pérez (datos de prueba)</t>
  </si>
  <si>
    <t xml:space="preserve">200 con 2 fincas, 3 ciclos, 2 gastos, 1 jornal y 2 ingresos, y el detalle por finca</t>
  </si>
  <si>
    <t xml:space="preserve">AD-05 sobre María Pérez (datos de prueba): 200 con totales {'fincas': 2, 'ciclos': 3, 'gastos': 2, 'jornales': 1, 'ingresos': 2} y el detalle por finca</t>
  </si>
  <si>
    <t xml:space="preserve">CP-RF-01-10</t>
  </si>
  <si>
    <t xml:space="preserve">AD-05 con token de agricultor, sin token y sobre la cuenta del administrador o una cuenta que no existe</t>
  </si>
  <si>
    <t xml:space="preserve">403 E-06, 401 V-46 y 404 E-07</t>
  </si>
  <si>
    <t xml:space="preserve">AD-05: agricultor 403 E-06; sin token 401 V-46; sobre el administrador 404 E-07; cuenta inexistente 404 E-07</t>
  </si>
  <si>
    <t xml:space="preserve">CP-RF-01-11</t>
  </si>
  <si>
    <t xml:space="preserve">AD-03 sobre un agricultor con 2 fincas, 4 ciclos (uno CERRADO), gastos eliminados lógicamente y una fila en INTENTO_INGRESO; luego contar filas en las 9 tablas dependientes</t>
  </si>
  <si>
    <t xml:space="preserve">Cero filas con su id_usuario, con los ids de sus fincas y ciclos y con su correo en OTP, TOKEN, FINCA, CICLO, CICLO_CULTIVO, GASTO, JORNAL, INGRESO e INTENTO_INGRESO; los datos de otro agricultor no cambian y el correo queda libre</t>
  </si>
  <si>
    <t xml:space="preserve">AD-03 sobre María (2 fincas, 3 ciclos, un gasto eliminado lógicamente y un intento de ingreso): filas restantes {'usuario': 0, 'fincas': 0, 'ciclos': 0, 'gastos': 0, 'tokens': 0, 'otp': 0, 'intentos': 0}</t>
  </si>
  <si>
    <t xml:space="preserve">CP-RF-01-12</t>
  </si>
  <si>
    <t xml:space="preserve">Tras AD-03, el dispositivo del usuario eliminado envía S-01 con un gasto de uno de sus ciclos</t>
  </si>
  <si>
    <t xml:space="preserve">401 V-46; no se crea ninguna fila</t>
  </si>
  <si>
    <t xml:space="preserve">Tras AD-03, el dispositivo del usuario eliminado envía S-01: 401 V-46 y no se crea ninguna fila</t>
  </si>
  <si>
    <t xml:space="preserve">CP-RF-01-13</t>
  </si>
  <si>
    <t xml:space="preserve">Insertar con SQL directo un segundo usuario con rol ADMIN, y después un usuario AGRICULTOR</t>
  </si>
  <si>
    <t xml:space="preserve">El segundo ADMIN lo rechaza la restricción UNIQUE; el agricultor se inserta</t>
  </si>
  <si>
    <t xml:space="preserve">INSERT directo de un 2.º ADMIN: la restricción UNIQUE (uq_usuario_un_solo_admin) lo rechaza; un AGRICULTOR se inserta</t>
  </si>
  <si>
    <t xml:space="preserve">CP-RF-02-01</t>
  </si>
  <si>
    <t xml:space="preserve">Particiones de equivalencia</t>
  </si>
  <si>
    <t xml:space="preserve">Registro con datos válidos: 'María Pérez', 'maria@correo.com', 'Caloto', 'Cafe#Cauca2026'</t>
  </si>
  <si>
    <t xml:space="preserve">Cuenta PENDIENTE y OTP enviado al correo</t>
  </si>
  <si>
    <t xml:space="preserve">Registro válido: 201, cuenta PENDIENTE y un código OTP generado (en pruebas el envío queda en el registro del servidor)</t>
  </si>
  <si>
    <t xml:space="preserve">CP-RF-02-02</t>
  </si>
  <si>
    <t xml:space="preserve">Clave de 9 / 10 / 11 caracteres con mayúscula, minúscula, número y símbolo</t>
  </si>
  <si>
    <t xml:space="preserve">9 se rechaza; 10 y 11 se aceptan</t>
  </si>
  <si>
    <t xml:space="preserve">Claves de 9 / 10 / 11 caracteres: 400 (V-07) / 201 / 201</t>
  </si>
  <si>
    <t xml:space="preserve">CP-RF-02-03</t>
  </si>
  <si>
    <t xml:space="preserve">Nombre '0', '00', 'aaaaa', 'test' y 1 solo carácter</t>
  </si>
  <si>
    <t xml:space="preserve">Todos se rechazan con el mensaje de reglas</t>
  </si>
  <si>
    <t xml:space="preserve">Nombres «0», «00», «aaaaa», «test» y «A»: todos rechazados con V-01</t>
  </si>
  <si>
    <t xml:space="preserve">CP-RF-02-04</t>
  </si>
  <si>
    <t xml:space="preserve">Correo 'abc', '0@0', 'a@b', 'a b@c.com' y 'ana@correo.com'</t>
  </si>
  <si>
    <t xml:space="preserve">Solo el último se acepta (RFC 5322)</t>
  </si>
  <si>
    <t xml:space="preserve">Correos «abc», «0@0», «a@b», «a b@c.com»: rechazados con V-03; «ana@correo.com»: aceptado (201)</t>
  </si>
  <si>
    <t xml:space="preserve">CP-RF-02-05</t>
  </si>
  <si>
    <t xml:space="preserve">Código OTP ingresado a los 14:59 y a los 15:01 minutos</t>
  </si>
  <si>
    <t xml:space="preserve">14:59 activa la cuenta; 15:01 se rechaza</t>
  </si>
  <si>
    <t xml:space="preserve">Código a los 14:59: 200 y cuenta activa; a los 15:01: 400 V-11</t>
  </si>
  <si>
    <t xml:space="preserve">CP-RF-02-06</t>
  </si>
  <si>
    <t xml:space="preserve">Registro sin marcar la autorización de datos (Ley 1581)</t>
  </si>
  <si>
    <t xml:space="preserve">Se rechaza; no se crea la cuenta</t>
  </si>
  <si>
    <t xml:space="preserve">Registro sin marcar la autorización (Ley 1581): 400 V-08; no se crea la cuenta</t>
  </si>
  <si>
    <t xml:space="preserve">CP-RF-02-07</t>
  </si>
  <si>
    <t xml:space="preserve">Dos clics rápidos en «Registrarme»</t>
  </si>
  <si>
    <t xml:space="preserve">Solo se envía una solicitud (botón deshabilitado)</t>
  </si>
  <si>
    <t xml:space="preserve">Dos clics rápidos en «Registrarme»: se envió 1 sola solicitud al servidor y se abrió la pantalla del código</t>
  </si>
  <si>
    <t xml:space="preserve">CP-RF-02-08</t>
  </si>
  <si>
    <t xml:space="preserve">Código OTP incorrecto 4 veces y luego el correcto / 5 veces incorrecto y luego el correcto</t>
  </si>
  <si>
    <t xml:space="preserve">Con 4 fallos el correcto activa la cuenta; al 5.º fallo el código se invalida y el correcto ya no sirve</t>
  </si>
  <si>
    <t xml:space="preserve">4 fallos y el código correcto: 200 (activa); 5 fallos: respuestas [400, 400, 400, 400, 423] y el código correcto después también da 423 (invalidado)</t>
  </si>
  <si>
    <t xml:space="preserve">CP-RF-02-09</t>
  </si>
  <si>
    <t xml:space="preserve">Pedir reenvío 3 veces (esperando 60 s) y un 4.º reenvío</t>
  </si>
  <si>
    <t xml:space="preserve">Los 3 primeros envían un código nuevo e invalidan el anterior; el 4.º se rechaza con el mensaje de máximo</t>
  </si>
  <si>
    <t xml:space="preserve">3 reenvíos esperando 60 s: 200, 200, 200 (cada uno anula el anterior: queda 1 código vigente); 4.º: 429 V-14</t>
  </si>
  <si>
    <t xml:space="preserve">CP-RF-02-10</t>
  </si>
  <si>
    <t xml:space="preserve">Pedir reenvío a los 30 s y a los 60 s del envío anterior</t>
  </si>
  <si>
    <t xml:space="preserve">A los 30 s se rechaza con la espera restante; a los 60 s se envía</t>
  </si>
  <si>
    <t xml:space="preserve">Reenvío a los 30 s: 429 V-13 (espera restante 30 s); a los 60 s: 200</t>
  </si>
  <si>
    <t xml:space="preserve">CP-RF-02-11</t>
  </si>
  <si>
    <t xml:space="preserve">Cambiar el correo en la pantalla del código por uno válido y por 'abc'</t>
  </si>
  <si>
    <t xml:space="preserve">El válido envía el código a la dirección nueva y cuenta como reenvío; 'abc' se rechaza</t>
  </si>
  <si>
    <t xml:space="preserve">Cambiar el correo: «abc» rechazado con V-03; «nuevo@correo.com» aceptado (200), código nuevo y cuenta como reenvío (quedan 2)</t>
  </si>
  <si>
    <t xml:space="preserve">CP-RF-02-12</t>
  </si>
  <si>
    <t xml:space="preserve">Registrar un correo de cuenta activa y uno de cuenta pendiente de menos de 24 h</t>
  </si>
  <si>
    <t xml:space="preserve">Ambos se rechazan con su mensaje; no se crea otra cuenta</t>
  </si>
  <si>
    <t xml:space="preserve">Correo de cuenta activa: 409 V-05; correo de cuenta pendiente (&lt; 24 h): 409 V-06; no se crea otra cuenta</t>
  </si>
  <si>
    <t xml:space="preserve">CP-RF-02-13</t>
  </si>
  <si>
    <t xml:space="preserve">Activar una cuenta pendiente a las 23 h y a las 25 h</t>
  </si>
  <si>
    <t xml:space="preserve">A las 23 h se activa; a las 25 h la cuenta ya fue eliminada y el correo está libre</t>
  </si>
  <si>
    <t xml:space="preserve">Activar a las 23 h: 200; a las 25 h: 410 V-15, la cuenta ya fue eliminada y el correo quedó libre (nuevo registro 201)</t>
  </si>
  <si>
    <t xml:space="preserve">CP-RF-02-14</t>
  </si>
  <si>
    <t xml:space="preserve">Escribir el correo y la confirmación distintos</t>
  </si>
  <si>
    <t xml:space="preserve">Se rechaza con «Los dos correos no coinciden»</t>
  </si>
  <si>
    <t xml:space="preserve">Correo y confirmación distintos: 400 V-04 «Los dos correos no coinciden.»</t>
  </si>
  <si>
    <t xml:space="preserve">CP-RF-02-15</t>
  </si>
  <si>
    <t xml:space="preserve">Clave de 63 / 64 / 65 caracteres con mayúscula, minúscula, número y símbolo</t>
  </si>
  <si>
    <t xml:space="preserve">63 y 64 se aceptan; 65 se rechaza con V-07</t>
  </si>
  <si>
    <t xml:space="preserve">Claves de 63 / 64 / 65 caracteres: 201 / 201 / 400 (V-07)</t>
  </si>
  <si>
    <t xml:space="preserve">CP-RF-02-16</t>
  </si>
  <si>
    <t xml:space="preserve">Claves 'Cafe_Cauca2026' y 'Cafe.Cauca2026' (símbolos de la lista) frente a 'Cafe Cauca2026' (espacio) y 'Café#Cauca2026' (tilde)</t>
  </si>
  <si>
    <t xml:space="preserve">Las dos primeras se aceptan; las otras dos se rechazan con V-07</t>
  </si>
  <si>
    <t xml:space="preserve">Claves con «_» y «.»: 201; con espacio o con tilde: 400 V-07</t>
  </si>
  <si>
    <t xml:space="preserve">CP-RF-02-17</t>
  </si>
  <si>
    <t xml:space="preserve">Correo de 254 caracteres y correo de 255 caracteres, ambos con formato correcto</t>
  </si>
  <si>
    <t xml:space="preserve">El de 254 se acepta; el de 255 se rechaza con V-03</t>
  </si>
  <si>
    <t xml:space="preserve">Correo de 254 caracteres: aceptado (201); de 255: rechazado con V-03</t>
  </si>
  <si>
    <t xml:space="preserve">CP-RF-02-18</t>
  </si>
  <si>
    <t xml:space="preserve">Registrar 'MARIA@CORREO.COM' cuando 'maria@correo.com' ya está activo, y luego ingresar con 'Maria@Correo.com' y la clave correcta</t>
  </si>
  <si>
    <t xml:space="preserve">El registro se rechaza con V-05; el ingreso funciona porque el correo no distingue mayúsculas</t>
  </si>
  <si>
    <t xml:space="preserve">Registrar «MARIA@CORREO.COM» con «maria@correo.com» activo: 409 V-05; ingresar con «Maria@Correo.com»: 200</t>
  </si>
  <si>
    <t xml:space="preserve">CP-RF-02-19</t>
  </si>
  <si>
    <t xml:space="preserve">Enviar A-01 desde una página de otro dominio distinto al de la PWA (origen no permitido por CORS)</t>
  </si>
  <si>
    <t xml:space="preserve">El navegador bloquea la respuesta (el servidor no la autoriza para ese origen) y no se crea ninguna cuenta</t>
  </si>
  <si>
    <t xml:space="preserve">Petición desde otro origen (https://sitio-malo.example): el servidor no devuelve Access-Control-Allow-Origin para ese origen (valor: None); el navegador bloquea la respuesta</t>
  </si>
  <si>
    <t xml:space="preserve">CP-RF-02-20</t>
  </si>
  <si>
    <t xml:space="preserve">A-01 seis veces desde la misma IP en una hora, con correos distintos y datos válidos</t>
  </si>
  <si>
    <t xml:space="preserve">Las 5 primeras se procesan; la 6.ª responde 429 E-10 con Retry-After</t>
  </si>
  <si>
    <t xml:space="preserve">A-01 seis veces desde la misma IP: [201, 201, 201, 201, 201, 429]; la 6.ª responde 429 E-10</t>
  </si>
  <si>
    <t xml:space="preserve">CP-RF-02-21</t>
  </si>
  <si>
    <t xml:space="preserve">Cuenta PENDIENTE de 25 horas con su OTP y su token de activación; ejecutar limpiar_pendientes</t>
  </si>
  <si>
    <t xml:space="preserve">Se borran la cuenta y, por cascada, su OTP y su token; el correo queda libre y no quedan filas huérfanas</t>
  </si>
  <si>
    <t xml:space="preserve">limpiar_pendientes con una cuenta de 25 h: 1 cuenta eliminada; su OTP y su token se borran por cascada; el correo queda libre</t>
  </si>
  <si>
    <t xml:space="preserve">CP-RF-03-01</t>
  </si>
  <si>
    <t xml:space="preserve">Correo y clave correctos de una cuenta ACTIVA</t>
  </si>
  <si>
    <t xml:space="preserve">Sesión iniciada y panel del agricultor abierto</t>
  </si>
  <si>
    <t xml:space="preserve">Correo y clave correctos de una cuenta ACTIVA: 200 con token de sesión y rol AGRICULTOR</t>
  </si>
  <si>
    <t xml:space="preserve">CP-RF-03-02</t>
  </si>
  <si>
    <t xml:space="preserve">4 intentos fallidos y luego uno correcto / 5 intentos fallidos seguidos</t>
  </si>
  <si>
    <t xml:space="preserve">Con 4 entra; al 5.º se bloquea 15 minutos</t>
  </si>
  <si>
    <t xml:space="preserve">4 fallos y luego la clave correcta: [401, 401, 401, 401] y 200; 5 fallos seguidos: [401, 401, 401, 401, 423] (bloqueo de 15 min)</t>
  </si>
  <si>
    <t xml:space="preserve">CP-RF-03-03</t>
  </si>
  <si>
    <t xml:space="preserve">Clave incorrecta</t>
  </si>
  <si>
    <t xml:space="preserve">Mensaje general que no dice si falló el correo o la clave</t>
  </si>
  <si>
    <t xml:space="preserve">Clave incorrecta: 401 V-17 «Correo o clave incorrectos.»; el mensaje es idéntico al de un correo inexistente</t>
  </si>
  <si>
    <t xml:space="preserve">CP-RF-03-04</t>
  </si>
  <si>
    <t xml:space="preserve">Correo y clave correctos de una cuenta PENDIENTE</t>
  </si>
  <si>
    <t xml:space="preserve">No inicia sesión; muestra el mensaje de cuenta no activada y abre la pantalla del código</t>
  </si>
  <si>
    <t xml:space="preserve">Cuenta PENDIENTE: no inicia sesión (403 V-19) y trae el token para abrir la pantalla del código</t>
  </si>
  <si>
    <t xml:space="preserve">CP-RF-03-05</t>
  </si>
  <si>
    <t xml:space="preserve">Reabrir la app en el día 29, 30 y 31 desde el inicio de sesión</t>
  </si>
  <si>
    <t xml:space="preserve">Día 29 y 30 conserva la sesión; día 31 pide ingresar</t>
  </si>
  <si>
    <t xml:space="preserve">Sesión de 30 días revisada a mitad de los días 29, 30 y 31: 200 / 200 / 401 (V-46 en el día 31)</t>
  </si>
  <si>
    <t xml:space="preserve">CP-RF-03-06</t>
  </si>
  <si>
    <t xml:space="preserve">Ingresar con una clave de 65 caracteres</t>
  </si>
  <si>
    <t xml:space="preserve">Se rechaza con V-17, sin revelar que la longitud es el motivo</t>
  </si>
  <si>
    <t xml:space="preserve">Clave de 65 caracteres: 401 V-17 «Correo o clave incorrectos.» (no revela que la longitud es el motivo)</t>
  </si>
  <si>
    <t xml:space="preserve">CP-RF-03-07</t>
  </si>
  <si>
    <t xml:space="preserve">A-05 once veces seguidas desde la misma IP en un minuto, con correos distintos</t>
  </si>
  <si>
    <t xml:space="preserve">Las 10 primeras responden según las credenciales; la 11.ª responde 429 E-10 con Retry-After</t>
  </si>
  <si>
    <t xml:space="preserve">A-05 once veces seguidas desde la misma IP: [401, 401, 401, 401, 401, 401, 401, 401, 401, 401, 429]; la 11.ª responde 429 E-10 con Retry-After</t>
  </si>
  <si>
    <t xml:space="preserve">CP-RF-04-01</t>
  </si>
  <si>
    <t xml:space="preserve">Cerrar sesión con 3 registros PENDIENTES</t>
  </si>
  <si>
    <t xml:space="preserve">Advierte «3 registros sin enviar», pide confirmación y conserva los datos locales</t>
  </si>
  <si>
    <t xml:space="preserve">Cerrar sesión con 3 registros PENDIENTES: advierte «Tiene 3 registros sin enviar», pide confirmación (Cancelar deja la sesión abierta) y conserva los datos locales</t>
  </si>
  <si>
    <t xml:space="preserve">CP-RF-04-02</t>
  </si>
  <si>
    <t xml:space="preserve">Cerrar sesión y volver a ingresar con la misma cuenta</t>
  </si>
  <si>
    <t xml:space="preserve">Los 3 registros siguen en el dispositivo y se envían</t>
  </si>
  <si>
    <t xml:space="preserve">Cerrar sesión y volver a ingresar con la misma cuenta: los 3 registros creados sin conexión se conservaron al cerrar sesión y se enviaron solos al ingresar de nuevo (el servidor tiene los 3 gastos)</t>
  </si>
  <si>
    <t xml:space="preserve">CP-RF-07-01</t>
  </si>
  <si>
    <t xml:space="preserve">Ingresar sin fincas ni ciclos</t>
  </si>
  <si>
    <t xml:space="preserve">Muestra «Bienvenido a Sembrando Futuro» y el botón «Registrar mi primera finca»</t>
  </si>
  <si>
    <t xml:space="preserve">Cuenta sin fincas ni ciclos: muestra «Bienvenido a Sembrando Futuro» y el botón «Registrar mi primera finca»</t>
  </si>
  <si>
    <t xml:space="preserve">CP-RF-07-02</t>
  </si>
  <si>
    <t xml:space="preserve">Ingresar con un ciclo con datos</t>
  </si>
  <si>
    <t xml:space="preserve">Muestra área efectiva, matas, gastos, ingresos y utilidad</t>
  </si>
  <si>
    <t xml:space="preserve">Ciclo con datos: muestra área efectiva 0,90 ha, 4.000 matas, gastos, ingresos y utilidad neta $ 350.000</t>
  </si>
  <si>
    <t xml:space="preserve">CP-RF-07-03</t>
  </si>
  <si>
    <t xml:space="preserve">Activar el modo sin conexión</t>
  </si>
  <si>
    <t xml:space="preserve">El indicador cambia a Offline y muestra los pendientes</t>
  </si>
  <si>
    <t xml:space="preserve">Modo sin conexión: el indicador pasa a «Sin conexión · 1» y el panel muestra «Pendientes por enviar: 1 registro»</t>
  </si>
  <si>
    <t xml:space="preserve">CP-RF-12-01</t>
  </si>
  <si>
    <t xml:space="preserve">Crear una finca con el nombre «La Esperanza»</t>
  </si>
  <si>
    <t xml:space="preserve">La finca se guarda y aparece en Mis fincas</t>
  </si>
  <si>
    <t xml:space="preserve">Servidor: finca «La Esperanza» aceptada y devuelta en la descarga (S-02). Pantalla «Mis fincas»: ver e2e_plan.cjs | Pantalla: finca «La Esperanza» guardada y visible en «Mis fincas»</t>
  </si>
  <si>
    <t xml:space="preserve">CP-RF-12-02</t>
  </si>
  <si>
    <t xml:space="preserve">Nombre de finca '0' o 'aaaaa'</t>
  </si>
  <si>
    <t xml:space="preserve">Se rechaza con V-22</t>
  </si>
  <si>
    <t xml:space="preserve">Nombres de finca «0» y «aaaaa»: ambos RECHAZADO con V-22</t>
  </si>
  <si>
    <t xml:space="preserve">CP-RF-12-03</t>
  </si>
  <si>
    <t xml:space="preserve">S-01 con eliminado = true para una finca existente</t>
  </si>
  <si>
    <t xml:space="preserve">RECHAZADO con E-11; la finca queda como estaba</t>
  </si>
  <si>
    <t xml:space="preserve">S-01 con eliminado = true para una finca existente: RECHAZADO E-11; la finca sigue como «La Esperanza», sin marca de eliminada</t>
  </si>
  <si>
    <t xml:space="preserve">CP-RF-12-04</t>
  </si>
  <si>
    <t xml:space="preserve">Crear una finca sin conexión y luego volver a tener internet</t>
  </si>
  <si>
    <t xml:space="preserve">Queda PENDIENTE y se envía sola al volver la conexión</t>
  </si>
  <si>
    <t xml:space="preserve">Finca creada sin conexión queda PENDIENTE (1); al volver internet se envía sola y el servidor la tiene («Finca sin señal»)</t>
  </si>
  <si>
    <t xml:space="preserve">CP-RF-13-01</t>
  </si>
  <si>
    <t xml:space="preserve">Caso oráculo</t>
  </si>
  <si>
    <t xml:space="preserve">Bruta 1,0 ha; no sembrable 1.000 m²</t>
  </si>
  <si>
    <t xml:space="preserve">Área efectiva 0,90 ha</t>
  </si>
  <si>
    <t xml:space="preserve">Servidor: Bruta 1,0 ha − 1.000 m² (0,1 ha): la función da 0.9000 ha y el servidor guarda 0.9 ha | Dispositivo: 1.000 m² = 0.1 ha; área efectiva 0.9 ha</t>
  </si>
  <si>
    <t xml:space="preserve">CP-RF-13-02</t>
  </si>
  <si>
    <t xml:space="preserve">No sembrable = bruta − 0,0001 / = bruta / mayor que la bruta</t>
  </si>
  <si>
    <t xml:space="preserve">El primero se acepta; los otros dos se rechazan</t>
  </si>
  <si>
    <t xml:space="preserve">Servidor: No sembrable 0,9999 (bruta − 0,0001): ACEPTADO; 1,0 (= bruta) y 1,5 (&gt; bruta): RECHAZADO con V-26 | Pantalla: 1,0 ha y 1,5 ha no sembrables dan V-26; 0,9999 ha se acepta (efectiva 0,0001 ha) y el servidor lo recibe con área efectiva 0.0001</t>
  </si>
  <si>
    <t xml:space="preserve">CP-RF-13-03</t>
  </si>
  <si>
    <t xml:space="preserve">No sembrable 1 plaza (unidad regional)</t>
  </si>
  <si>
    <t xml:space="preserve">Se descuenta 0,64 ha</t>
  </si>
  <si>
    <t xml:space="preserve">Pantalla: 1 plaza = 0,64 ha; con 1,0 ha brutas la efectiva es 0,36 ha | Dispositivo: 1 plaza = 0.64 ha; con 1,0 ha brutas la efectiva es 0.36 ha</t>
  </si>
  <si>
    <t xml:space="preserve">CP-RF-13-04</t>
  </si>
  <si>
    <t xml:space="preserve">Insertar con SQL directo un ciclo con area_efectiva_ha distinta de area_bruta_ha menos area_no_sembrable_ha; enviar el mismo ciclo con S-01 con un área efectiva errada</t>
  </si>
  <si>
    <t xml:space="preserve">SQL: la restricción CHECK lo rechaza; S-01: el servidor recalcula y guarda el valor correcto</t>
  </si>
  <si>
    <t xml:space="preserve">SQL directo con efectiva 0,5 ≠ 1,0 − 0,1: la base lo rechaza (CHECK constraint failed: ck_ciclo_efectiva…). S-01 con efectiva errada de 5,0: el servidor guardó 0.9</t>
  </si>
  <si>
    <t xml:space="preserve">CP-RF-14-01</t>
  </si>
  <si>
    <t xml:space="preserve">Crear ciclo con nombre de lote opcional, área, pendiente, cultivo y fecha de siembra</t>
  </si>
  <si>
    <t xml:space="preserve">Ciclo en estado ACTIVO</t>
  </si>
  <si>
    <t xml:space="preserve">Ciclo con lote «Lote Alto», 1,0 ha, pendiente 12 %, café y siembra 15/03/2026: ACEPTADO en estado ACTIVO</t>
  </si>
  <si>
    <t xml:space="preserve">CP-RF-14-02</t>
  </si>
  <si>
    <t xml:space="preserve">Crear ciclo sin elegir el cultivo</t>
  </si>
  <si>
    <t xml:space="preserve">Se rechaza con V-27 y mensaje claro</t>
  </si>
  <si>
    <t xml:space="preserve">Ciclo_cultivo sin código de cultivo: RECHAZADO con V-27 «Seleccione un cultivo.»</t>
  </si>
  <si>
    <t xml:space="preserve">CP-RF-14-03</t>
  </si>
  <si>
    <t xml:space="preserve">Fecha de siembra 31/12/2019, 01/01/2020, hoy más un año y hoy más un año y un día</t>
  </si>
  <si>
    <t xml:space="preserve">31/12/2019 y el último valor se rechazan con V-48; los otros dos se aceptan</t>
  </si>
  <si>
    <t xml:space="preserve">Fecha de siembra: 2019-12-31 → V-48, 2020-01-01 → ACEPTADO, 2027-10-29 → ACEPTADO, 2027-10-30 → V-48</t>
  </si>
  <si>
    <t xml:space="preserve">CP-RF-14-04</t>
  </si>
  <si>
    <t xml:space="preserve">Área bruta 0,0001 / 0,00009 / 10.000 / 10.000,0001 ha</t>
  </si>
  <si>
    <t xml:space="preserve">0,0001 y 10.000 se aceptan; los otros dos se rechazan</t>
  </si>
  <si>
    <t xml:space="preserve">Área bruta (ha): 0.0001 → ACEPTADO, 9e-05 → V-24, 10000 → ACEPTADO, 10000.0001 → V-24</t>
  </si>
  <si>
    <t xml:space="preserve">CP-RF-14-05</t>
  </si>
  <si>
    <t xml:space="preserve">Vigencia 1 / 0 / 50 / 51 años y 2,5; y sin vigencia</t>
  </si>
  <si>
    <t xml:space="preserve">1 y 50 se aceptan; 0, 51 y 2,5 se rechazan con V-49; sin vigencia se acepta y no muestra semáforo</t>
  </si>
  <si>
    <t xml:space="preserve">Vigencia: 1 → ACEPTADO, 0 → V-49, 50 → ACEPTADO, 51 → V-49, 2.5 → V-49, None → ACEPTADO; sin vigencia el resumen no trae fecha estimada ni semáforo</t>
  </si>
  <si>
    <t xml:space="preserve">CP-RF-14-06</t>
  </si>
  <si>
    <t xml:space="preserve">Agregar plátano (rectangular 3 × 2 m) a un ciclo que ya tiene café (cuadrado 1,5 m)</t>
  </si>
  <si>
    <t xml:space="preserve">El ciclo queda con dos cultivos, cada uno con su marco, y se calculan las matas de cada uno</t>
  </si>
  <si>
    <t xml:space="preserve">Café cuadrado 1,5 m + plátano rectangular 3 × 2 m en el mismo ciclo: 2 cultivos, cada uno con su marco; matas 4.000 y 1.500 (total 5.500)</t>
  </si>
  <si>
    <t xml:space="preserve">CP-RF-14-07</t>
  </si>
  <si>
    <t xml:space="preserve">Agregar café otra vez al mismo ciclo; agregar un cultivo a un ciclo CERRADO</t>
  </si>
  <si>
    <t xml:space="preserve">El primero se rechaza con V-50; el segundo con V-31</t>
  </si>
  <si>
    <t xml:space="preserve">Café repetido en el mismo ciclo: V-50; yuca agregada a un ciclo CERRADO: V-31</t>
  </si>
  <si>
    <t xml:space="preserve">CP-RF-14-08</t>
  </si>
  <si>
    <t xml:space="preserve">Vigencia 10 años con 2 de uso; 4 años con 2,5 de uso; 4 años con 3,5 de uso; ciclo vencido; sin vigencia</t>
  </si>
  <si>
    <t xml:space="preserve">Verde (falta 80 %); amarillo (37,5 %); rojo (12,5 %); rojo; sin semáforo</t>
  </si>
  <si>
    <t xml:space="preserve">Servidor: Semáforo: 10 años con 2 de uso: VERDE (falta 80.0 %); 4 años con 2,5 de uso: AMARILLO (falta 37.5 %); 4 años con 3,5 de uso: ROJO (falta 12.5 %); ciclo vencido (3 años con 4 de uso): ROJO (falta -33.3 %); sin vigencia: sin semáforo | Dispositivo: VERDE / AMARILLO / ROJO / ROJO / sin semáforo para 10/2, 4/2,5, 4/3,5, vencido y sin vigencia</t>
  </si>
  <si>
    <t xml:space="preserve">CP-RF-15-01</t>
  </si>
  <si>
    <t xml:space="preserve">Cerrar ciclo ACTIVO con ingresos y fecha de cierre válida</t>
  </si>
  <si>
    <t xml:space="preserve">Pasa a CERRADO, queda de solo lectura</t>
  </si>
  <si>
    <t xml:space="preserve">Cierre con ingresos y fecha de hoy: ACEPTADO, estado CERRADO; un gasto nuevo posterior se rechaza con V-31 (solo lectura)</t>
  </si>
  <si>
    <t xml:space="preserve">CP-RF-15-02</t>
  </si>
  <si>
    <t xml:space="preserve">Cerrar ciclo sin ingresos registrados</t>
  </si>
  <si>
    <t xml:space="preserve">Pide confirmación; al confirmar cierra</t>
  </si>
  <si>
    <t xml:space="preserve">Ciclo sin ingresos: pide confirmación «Este ciclo no tiene ingresos. ¿Desea cerrarlo de todos modos?»; al confirmar, se cierra</t>
  </si>
  <si>
    <t xml:space="preserve">CP-RF-15-03</t>
  </si>
  <si>
    <t xml:space="preserve">Fecha de cierre igual a la de siembra / un día anterior</t>
  </si>
  <si>
    <t xml:space="preserve">La igual se acepta; la anterior se rechaza</t>
  </si>
  <si>
    <t xml:space="preserve">Cierre el mismo día de la siembra: ACEPTADO; un día antes: RECHAZADO con V-29</t>
  </si>
  <si>
    <t xml:space="preserve">CP-RF-15-04</t>
  </si>
  <si>
    <t xml:space="preserve">Intentar agregar un gasto a un ciclo CERRADO</t>
  </si>
  <si>
    <t xml:space="preserve">Se rechaza</t>
  </si>
  <si>
    <t xml:space="preserve">Gasto nuevo en un ciclo CERRADO: RECHAZADO con V-31 «Este ciclo está cerrado y no admite nuevos registros.»</t>
  </si>
  <si>
    <t xml:space="preserve">CP-RF-15-05</t>
  </si>
  <si>
    <t xml:space="preserve">Cerrar un ciclo con fecha de cierre de hoy y con la de mañana</t>
  </si>
  <si>
    <t xml:space="preserve">La de hoy cierra el ciclo; la de mañana se rechaza con V-29</t>
  </si>
  <si>
    <t xml:space="preserve">Cierre con fecha de hoy: ACEPTADO; con la de mañana: RECHAZADO con V-29</t>
  </si>
  <si>
    <t xml:space="preserve">CP-RF-15-06</t>
  </si>
  <si>
    <t xml:space="preserve">Enviar al mismo tiempo el cierre de un ciclo (S-01) y un gasto nuevo de ese ciclo</t>
  </si>
  <si>
    <t xml:space="preserve">Si gana el cierre, el gasto se rechaza con V-31; si gana el gasto, queda registrado antes del cierre; nunca queda un gasto nuevo en un ciclo CERRADO</t>
  </si>
  <si>
    <t xml:space="preserve">Orden de llegada: cierre_primero: gasto V-31, cierre ACEPTADO; gasto_primero: gasto ACEPTADO, cierre ACEPTADO; gasto_hecho_antes_sin_conexion: gasto ACEPTADO, cierre ACEPTADO. Nunca quedó un gasto posterior al cierre en un ciclo CERRADO</t>
  </si>
  <si>
    <t xml:space="preserve">CP-RF-17-01</t>
  </si>
  <si>
    <t xml:space="preserve">Abrir la ficha de café con internet y luego sin conexión</t>
  </si>
  <si>
    <t xml:space="preserve">La ficha se ve igual en ambos casos</t>
  </si>
  <si>
    <t xml:space="preserve">La ficha del café se ve idéntica con y sin conexión (1042 caracteres: distancias, marcos, fuente y costos de referencia)</t>
  </si>
  <si>
    <t xml:space="preserve">CP-RF-17-02</t>
  </si>
  <si>
    <t xml:space="preserve">Consultar los 3 cultivos semilla</t>
  </si>
  <si>
    <t xml:space="preserve">Cada ficha muestra distancias, marcos, fuente y costos de referencia</t>
  </si>
  <si>
    <t xml:space="preserve">Catálogo: CAFE 1.0–2.0 m, marcos ['cuadrado', 'rectangular', 'tresbolillo'], fuente «Cenicafé (Centro Nacional de Investigaciones de Café) y Federación Nacional de Cafeteros»; PLATANO 2.0–3.5 m, marcos ['cuadrado', 'rectangular', 'tresbolillo'], fuente «ICA (Instituto Colombiano Agropecuario) y Agrosavia»; YUCA 0.8–1.0 m, marcos ['cuadrado', 'rectangular', 'tresbolillo'], fuente «Agrosavia (ficha de la variedad La Francesa: 1 m × 1 m, 10.000 plantas por hectárea) y CIAT (Castro, 1980: 10.000 y 15.625 plantas por hectárea)»</t>
  </si>
  <si>
    <t xml:space="preserve">CP-RF-17-03</t>
  </si>
  <si>
    <t xml:space="preserve">Abrir la ficha técnica del café</t>
  </si>
  <si>
    <t xml:space="preserve">Muestra por cada 1.000 plantas: hoyado $300, colino $100, insumos $830 al año, 4 jornales de limpieza y 3 de riego</t>
  </si>
  <si>
    <t xml:space="preserve">Ficha del café por cada 1000 plantas: hoyado $300, colino $100, insumos $830 al año, 4 jornales de limpieza y 3 de riego</t>
  </si>
  <si>
    <t xml:space="preserve">CP-RF-18-01</t>
  </si>
  <si>
    <t xml:space="preserve">Cuadrado, d = 1 m</t>
  </si>
  <si>
    <t xml:space="preserve">10.000 matas/ha</t>
  </si>
  <si>
    <t xml:space="preserve">Servidor: Cuadrado d = 1 m: 10,000.00 matas/ha | Dispositivo: cuadrado d = 1 m → 10.000 matas/ha</t>
  </si>
  <si>
    <t xml:space="preserve">CP-RF-18-02</t>
  </si>
  <si>
    <t xml:space="preserve">Rectangular 2 × 1,5 m</t>
  </si>
  <si>
    <t xml:space="preserve">3.333,34 matas/ha</t>
  </si>
  <si>
    <t xml:space="preserve">Servidor: Rectangular 2 × 1,5 m: 3333.34 matas/ha | Dispositivo: rectangular 2 × 1,5 m → 3.333,34 matas/ha (hacia arriba)</t>
  </si>
  <si>
    <t xml:space="preserve">CP-RF-18-03</t>
  </si>
  <si>
    <t xml:space="preserve">Tresbolillo d = 3 m</t>
  </si>
  <si>
    <t xml:space="preserve">1.283,01 matas/ha</t>
  </si>
  <si>
    <t xml:space="preserve">Servidor: Tresbolillo d = 3 m: 1283.01 matas/ha (valor exacto 1283.0012). La función redondea hacia arriba, con 2 decimales | Dispositivo: tresbolillo d = 3 m → 1283.01 matas/ha (valor exacto 1283.0012; redondeo hacia arriba con 2 decimales)</t>
  </si>
  <si>
    <t xml:space="preserve">CP-RF-18-04</t>
  </si>
  <si>
    <t xml:space="preserve">Café, cuadrado 1,5 × 1,5 m; ciclo con 0,9 ha efectivas</t>
  </si>
  <si>
    <t xml:space="preserve">4.444,45 matas/ha y 4.000 matas en el ciclo</t>
  </si>
  <si>
    <t xml:space="preserve">Servidor: Café cuadrado 1,5 m: 4444.45 matas/ha; ciclo de 0,9 ha efectivas: 4000 matas | Dispositivo: café cuadrado 1,5 m → 4444.45 matas/ha y 4000 matas en 0,9 ha</t>
  </si>
  <si>
    <t xml:space="preserve">CP-RF-18-05</t>
  </si>
  <si>
    <t xml:space="preserve">Distancia = mínimo del catálogo − 0,01 / mínimo / máximo / máximo + 0,01</t>
  </si>
  <si>
    <t xml:space="preserve">Advertencia solo en el primero y el último; el cálculo no se bloquea</t>
  </si>
  <si>
    <t xml:space="preserve">Rango del café 1,0–2,0 m: 0,99 → advertencia V-34; 1,0 y 2,0 → sin advertencia; 2,01 → V-34; el cálculo se hace siempre</t>
  </si>
  <si>
    <t xml:space="preserve">CP-RF-18-06</t>
  </si>
  <si>
    <t xml:space="preserve">Distancia 0 o negativa</t>
  </si>
  <si>
    <t xml:space="preserve">Se pide corregir; no se calcula</t>
  </si>
  <si>
    <t xml:space="preserve">Distancia 0 y −1: la función devuelve error V-33 y no calcula</t>
  </si>
  <si>
    <t xml:space="preserve">CP-RF-18-07</t>
  </si>
  <si>
    <t xml:space="preserve">Distancia de 0,009 / 0,01 / 10 / 10,01 metros en el marco cuadrado</t>
  </si>
  <si>
    <t xml:space="preserve">0,009 y 10,01 se rechazan con V-33; 0,01 y 10 se aceptan</t>
  </si>
  <si>
    <t xml:space="preserve">Distancia del marco cuadrado (m): 0.009 → V-33, 0.01 → ACEPTADO, 10 → ACEPTADO, 10.01 → V-33</t>
  </si>
  <si>
    <t xml:space="preserve">CP-RF-23-01</t>
  </si>
  <si>
    <t xml:space="preserve">Monto 0 / 1 / 50.000.000 / 50.000.001 COP</t>
  </si>
  <si>
    <t xml:space="preserve">1 y 50.000.000 se aceptan; 0 y 50.000.001 se rechazan</t>
  </si>
  <si>
    <t xml:space="preserve">Monto del gasto (COP): 0 → V-35, 1 → ACEPTADO, 50000000 → ACEPTADO, 50000001 → V-35</t>
  </si>
  <si>
    <t xml:space="preserve">CP-RF-23-02</t>
  </si>
  <si>
    <t xml:space="preserve">Monto '1e5', '-5', 'abc'</t>
  </si>
  <si>
    <t xml:space="preserve">Todos se rechazan</t>
  </si>
  <si>
    <t xml:space="preserve">Monto «1e5», «-5» y «abc»: 1e5 → V-36, -5 → V-36, abc → V-36</t>
  </si>
  <si>
    <t xml:space="preserve">CP-RF-23-03</t>
  </si>
  <si>
    <t xml:space="preserve">Registrar un gasto sin conexión</t>
  </si>
  <si>
    <t xml:space="preserve">Se guarda PENDIENTE y la utilidad se actualiza</t>
  </si>
  <si>
    <t xml:space="preserve">Sin conexión: el gasto de $ 30.000 queda PENDIENTE (1) y la utilidad baja de $ 350.000 a $ 320.000</t>
  </si>
  <si>
    <t xml:space="preserve">CP-RF-23-04</t>
  </si>
  <si>
    <t xml:space="preserve">Gasto con fecha de hoy, de mañana y de un día antes de la siembra del ciclo</t>
  </si>
  <si>
    <t xml:space="preserve">Hoy se acepta; mañana y el día anterior a la siembra se rechazan con V-47</t>
  </si>
  <si>
    <t xml:space="preserve">Fecha del gasto: hoy → ACEPTADO, mañana → V-47, un día antes de la siembra → V-47</t>
  </si>
  <si>
    <t xml:space="preserve">CP-RF-23-05</t>
  </si>
  <si>
    <t xml:space="preserve">Escribir '31/02/2026' como fecha del gasto</t>
  </si>
  <si>
    <t xml:space="preserve">Se rechaza con V-28 y se conserva lo escrito</t>
  </si>
  <si>
    <t xml:space="preserve">Servidor: fecha «31/02/2026» RECHAZADA con V-28 «Elija una fecha válida del calendario.» | Pantalla: la fecha inexistente 31/02/2026 no se puede elegir en el calendario (el campo queda vacío) y se rechaza con V-28</t>
  </si>
  <si>
    <t xml:space="preserve">CP-RF-24-01</t>
  </si>
  <si>
    <t xml:space="preserve">Jornales 0,4 / 0,5 / 1,25 / 999 / 999,5</t>
  </si>
  <si>
    <t xml:space="preserve">0,5 y 999 se aceptan; 0,4, 1,25 y 999,5 se rechazan</t>
  </si>
  <si>
    <t xml:space="preserve">Número de jornales: 0.4 → V-39, 0.5 → ACEPTADO, 1.25 → V-39, 999 → ACEPTADO, 999.5 → V-39</t>
  </si>
  <si>
    <t xml:space="preserve">CP-RF-24-02</t>
  </si>
  <si>
    <t xml:space="preserve">3 jornales a $60.000</t>
  </si>
  <si>
    <t xml:space="preserve">Costo total $180.000</t>
  </si>
  <si>
    <t xml:space="preserve">Servidor: 3 jornales × $60.000: la función da $180.000 y el resumen del servidor $180.000 | Dispositivo: 3 jornales × $60.000 = $180.000</t>
  </si>
  <si>
    <t xml:space="preserve">CP-RF-24-03</t>
  </si>
  <si>
    <t xml:space="preserve">Valor diario 0 / 1 COP</t>
  </si>
  <si>
    <t xml:space="preserve">0 se rechaza; 1 se acepta</t>
  </si>
  <si>
    <t xml:space="preserve">Valor diario del jornal (COP): 0 → V-40, 1 → ACEPTADO</t>
  </si>
  <si>
    <t xml:space="preserve">CP-RF-24-04</t>
  </si>
  <si>
    <t xml:space="preserve">Jornal con fecha de mañana y jornal con fecha igual a la de siembra</t>
  </si>
  <si>
    <t xml:space="preserve">El de mañana se rechaza con V-47; el de la fecha de siembra se acepta</t>
  </si>
  <si>
    <t xml:space="preserve">Fecha del jornal: mañana → V-47, fecha de siembra → ACEPTADO</t>
  </si>
  <si>
    <t xml:space="preserve">CP-RF-25-01</t>
  </si>
  <si>
    <t xml:space="preserve">Cantidad 0,09 / 0,1 / 10.000 / 10.001</t>
  </si>
  <si>
    <t xml:space="preserve">0,1 y 10.000 se aceptan; los otros se rechazan</t>
  </si>
  <si>
    <t xml:space="preserve">Cantidad vendida: 0.09 → V-41, 0.1 → ACEPTADO, 10000 → ACEPTADO, 10001 → V-41</t>
  </si>
  <si>
    <t xml:space="preserve">CP-RF-25-02</t>
  </si>
  <si>
    <t xml:space="preserve">Precio unitario 0 / 1 / 50.000.000 / 50.000.001 COP</t>
  </si>
  <si>
    <t xml:space="preserve">1 y 50.000.000 se aceptan; los otros se rechazan</t>
  </si>
  <si>
    <t xml:space="preserve">Precio unitario (COP): 0 → V-42, 1 → ACEPTADO, 50000000 → ACEPTADO, 50000001 → V-42</t>
  </si>
  <si>
    <t xml:space="preserve">CP-RF-25-03</t>
  </si>
  <si>
    <t xml:space="preserve">Unidad distinta de la unidad comercial del cultivo</t>
  </si>
  <si>
    <t xml:space="preserve">Se rechaza o se corrige a la unidad del cultivo</t>
  </si>
  <si>
    <t xml:space="preserve">Ingreso enviado con unidad «kg»: el servidor ignora la unidad enviada y guarda la del cultivo («carga (125 kg de café pergamino seco)»)</t>
  </si>
  <si>
    <t xml:space="preserve">CP-RF-25-04</t>
  </si>
  <si>
    <t xml:space="preserve">Ingreso con fecha de mañana y con la fecha de hoy</t>
  </si>
  <si>
    <t xml:space="preserve">El de mañana se rechaza con V-47; el de hoy se acepta</t>
  </si>
  <si>
    <t xml:space="preserve">Ingreso con fecha de mañana: V-47; con la de hoy: ACEPTADO</t>
  </si>
  <si>
    <t xml:space="preserve">CP-RF-25-05</t>
  </si>
  <si>
    <t xml:space="preserve">Ingreso de 10.000 unidades a $50.000.000 cada una</t>
  </si>
  <si>
    <t xml:space="preserve">Se guarda y el total de $500.000.000.000 se muestra completo, sin desbordarse</t>
  </si>
  <si>
    <t xml:space="preserve">Servidor: 10.000 unidades a $50.000.000: aceptado; el servidor suma $500.000.000.000 sin desbordarse. Pantalla: ver e2e_plan.cjs | Pantalla: 10.000 × $ 50.000.000 muestra «$ 500.000.000.000» completo en la vista previa y el resumen suma $ 500.000.500.000 (los $ 500.000 anteriores más el nuevo ingreso), sin NaN ni notación científica | Dispositivo: 10.000 × $50.000.000 = $ 500.000.000.000 (número exacto, dentro de los enteros seguros de JavaScript)</t>
  </si>
  <si>
    <t xml:space="preserve">CP-RF-27-01</t>
  </si>
  <si>
    <t xml:space="preserve">Eliminar un gasto de $150.000 y tocar «Deshacer» a los 9 s</t>
  </si>
  <si>
    <t xml:space="preserve">El gasto vuelve y los saldos se restauran</t>
  </si>
  <si>
    <t xml:space="preserve">Gasto de $ 150.000 eliminado y «Deshacer» a los 9 s: el gasto vuelve a la lista y los saldos quedan como antes</t>
  </si>
  <si>
    <t xml:space="preserve">CP-RF-27-02</t>
  </si>
  <si>
    <t xml:space="preserve">Tocar «Deshacer» a los 10 s y a los 11 s</t>
  </si>
  <si>
    <t xml:space="preserve">A los 10 s funciona; a los 11 s ya no</t>
  </si>
  <si>
    <t xml:space="preserve">«Deshacer» a los 10 s: funciona (el gasto vuelve); a los 11 s: aparece «Ya no se puede deshacer.» y el gasto sigue eliminado</t>
  </si>
  <si>
    <t xml:space="preserve">CP-RF-27-03</t>
  </si>
  <si>
    <t xml:space="preserve">Editar un jornal de 2 a 3 jornales</t>
  </si>
  <si>
    <t xml:space="preserve">Se recalcula el costo y la utilidad</t>
  </si>
  <si>
    <t xml:space="preserve">Servidor: Jornal de 2 a 3 jornales de $50.000: el costo pasa de $100.000 a $150.000 y la utilidad queda en $-150.000 | Pantalla: jornal de 2 a 3 jornales ($ 25.000 diarios): aviso «Los saldos se recalcularon» y la utilidad pasa de $ 350.000 a $ 325.000</t>
  </si>
  <si>
    <t xml:space="preserve">CP-RF-28-01</t>
  </si>
  <si>
    <t xml:space="preserve">Ingresos 1.000.000 y gastos 600.000</t>
  </si>
  <si>
    <t xml:space="preserve">Utilidad 400.000; rentabilidad 66,67 %</t>
  </si>
  <si>
    <t xml:space="preserve">Servidor: Ingresos 1.000.000 y gastos 600.000: utilidad 400.000; rentabilidad 66,7 % (66,67 % redondeado a 1 decimal) | Dispositivo: utilidad 400.000; rentabilidad 66.7 %</t>
  </si>
  <si>
    <t xml:space="preserve">CP-RF-28-02</t>
  </si>
  <si>
    <t xml:space="preserve">Gasto 150.000 e ingreso 500.000</t>
  </si>
  <si>
    <t xml:space="preserve">Utilidad 350.000; rentabilidad 233,3 %</t>
  </si>
  <si>
    <t xml:space="preserve">Servidor: Gasto 150.000 e ingreso 500.000: utilidad 350.000; rentabilidad 233,3 % | Dispositivo: utilidad 350.000; rentabilidad 233.3 %</t>
  </si>
  <si>
    <t xml:space="preserve">CP-RF-28-03</t>
  </si>
  <si>
    <t xml:space="preserve">Gastos = 0</t>
  </si>
  <si>
    <t xml:space="preserve">Rentabilidad 0,0 % sin error</t>
  </si>
  <si>
    <t xml:space="preserve">Servidor: Gastos = 0: rentabilidad 0,0 % sin error de división (utilidad 500.000) | Dispositivo: gastos = 0 → rentabilidad 0 % sin error</t>
  </si>
  <si>
    <t xml:space="preserve">CP-RF-28-04</t>
  </si>
  <si>
    <t xml:space="preserve">Gastos mayores que ingresos</t>
  </si>
  <si>
    <t xml:space="preserve">Utilidad en rojo con la palabra «Pérdida»</t>
  </si>
  <si>
    <t xml:space="preserve">Gastos mayores que ingresos: la pantalla muestra «Pérdida» con la cifra en rojo (rgb(168, 40, 29)); no depende solo del color porque lleva la palabra</t>
  </si>
  <si>
    <t xml:space="preserve">CP-RF-28-05</t>
  </si>
  <si>
    <t xml:space="preserve">R-01 del ciclo C-01 de los datos de prueba: gasto de $100.000, 2 jornales de $25.000 e ingreso de 4 cargas a $125.000, ciclo de 0,9 ha</t>
  </si>
  <si>
    <t xml:space="preserve">Costos $150.000; ingresos $500.000; utilidad $350.000; rentabilidad 233,3 %; utilidad por hectárea $388.889; total de matas 4.000</t>
  </si>
  <si>
    <t xml:space="preserve">R-01: costos 150.000, ingresos 500.000, utilidad 350.000, rentabilidad 233,3 %, por hectárea 388.889, matas 4.000</t>
  </si>
  <si>
    <t xml:space="preserve">CP-RF-28-06</t>
  </si>
  <si>
    <t xml:space="preserve">R-01 de un ciclo propio, de un ciclo de otro usuario y de un ciclo que no existe</t>
  </si>
  <si>
    <t xml:space="preserve">200, 403 E-02 y 404 E-07</t>
  </si>
  <si>
    <t xml:space="preserve">R-01 de un ciclo propio: 200; de otro usuario: 403 E-02; inexistente: 404 E-07</t>
  </si>
  <si>
    <t xml:space="preserve">CP-RF-28-07</t>
  </si>
  <si>
    <t xml:space="preserve">R-01 de un ciclo sin gastos ni jornales y de un ciclo sin ningún registro</t>
  </si>
  <si>
    <t xml:space="preserve">rentabilidad_pct es 0,0 en ambos, sin error de división por cero, y las demás cifras son 0 o corresponden solo a los ingresos</t>
  </si>
  <si>
    <t xml:space="preserve">Ciclo sin registros: rentabilidad 0,0 y todo en 0. Ciclo solo con ingreso de $500.000: rentabilidad 0,0, utilidad $500.000. Sin errores de división</t>
  </si>
  <si>
    <t xml:space="preserve">CP-RF-28-08</t>
  </si>
  <si>
    <t xml:space="preserve">Ciclo con café cuadrado 1,5 m y 0,9 ha efectivas (4.000 matas): costos aproximados de la ficha técnica</t>
  </si>
  <si>
    <t xml:space="preserve">Siembra inicial $1.600.000; insumos de un año $3.320.000; 28 jornales al año; la pantalla avisa que son orientativos</t>
  </si>
  <si>
    <t xml:space="preserve">Servidor: Ficha del café con 4.000 matas: siembra inicial $1.600.000, insumos de un año $3.320.000, 28 jornales al año. El aviso «orientativo» se comprueba en la pantalla | Pantalla: «Costos aproximados (ficha técnica)» con siembra $ 1.600.000, insumos $ 3.320.000, 28 jornales y el aviso «Son valores orientativos de la ficha técnica, no un presupuesto.» | Dispositivo: café con 4.000 matas → siembra 1.600.000, insumos 3.320.000, 28 jornales al año</t>
  </si>
  <si>
    <t xml:space="preserve">CP-RF-35-01</t>
  </si>
  <si>
    <t xml:space="preserve">Modo avión → registrar gasto → cerrar pestaña → reabrir</t>
  </si>
  <si>
    <t xml:space="preserve">El gasto sigue guardado (0 % de pérdida)</t>
  </si>
  <si>
    <t xml:space="preserve">Modo avión → gasto → cierre de la pestaña → reapertura sin internet: el gasto sigue guardado (0 % de pérdida); al volver internet llega 1 sola vez al servidor</t>
  </si>
  <si>
    <t xml:space="preserve">CP-RF-35-02</t>
  </si>
  <si>
    <t xml:space="preserve">Usar catálogo, finca, ciclo y registros sin conexión</t>
  </si>
  <si>
    <t xml:space="preserve">Todo funciona sin internet</t>
  </si>
  <si>
    <t xml:space="preserve">Sin internet funcionaron el catálogo, la finca, el ciclo, el gasto, el jornal y el ingreso (utilidad $ 350.000, 6 registros pendientes). Al volver la conexión se enviaron los 6: el servidor tiene ciclo,ciclo_cultivo,finca,gasto,ingreso,jornal</t>
  </si>
  <si>
    <t xml:space="preserve">CP-RF-36-01</t>
  </si>
  <si>
    <t xml:space="preserve">Volver la conexión con 3 registros PENDIENTES</t>
  </si>
  <si>
    <t xml:space="preserve">Se envían solos y pasan a SINCRONIZADO</t>
  </si>
  <si>
    <t xml:space="preserve">Con 6 registros PENDIENTES al volver la conexión: se enviaron solos, el indicador quedó sin pendientes (SINCRONIZADO) y el servidor los tiene (ciclo,ciclo_cultivo,finca,gasto,ingreso,jornal)</t>
  </si>
  <si>
    <t xml:space="preserve">CP-RF-36-02</t>
  </si>
  <si>
    <t xml:space="preserve">Cortar la red a mitad del envío y reconectar</t>
  </si>
  <si>
    <t xml:space="preserve">Sin registros duplicados (mismo uuid) ni perdidos</t>
  </si>
  <si>
    <t xml:space="preserve">El mismo registro (mismo uuid) enviado 2 veces: la 1.ª ACEPTADO; la 2.ª ACTUALIZADO_POR_SERVIDOR (ya lo tenía, el dispositivo adopta la copia del servidor) y solo 1 fila en el servidor (sin duplicados)</t>
  </si>
  <si>
    <t xml:space="preserve">CP-RF-36-03</t>
  </si>
  <si>
    <t xml:space="preserve">El mismo registro editado en dos dispositivos</t>
  </si>
  <si>
    <t xml:space="preserve">Gana el registro con updated_at más reciente</t>
  </si>
  <si>
    <t xml:space="preserve">Dispositivo A (T1) $100.000; B con T0 (más viejo): ACTUALIZADO_POR_SERVIDOR; B con T2 (más reciente): ACEPTADO. Queda $200.000, el de updated_at más reciente</t>
  </si>
  <si>
    <t xml:space="preserve">CP-RF-36-04</t>
  </si>
  <si>
    <t xml:space="preserve">Enviar con S-01 un gasto con fecha de mañana y un ciclo con distancia de 11 m, junto con registros válidos</t>
  </si>
  <si>
    <t xml:space="preserve">Los dos inválidos se rechazan con V-47 y V-33; los válidos se aceptan</t>
  </si>
  <si>
    <t xml:space="preserve">Lote mixto: gasto con fecha de mañana → V-47; cultivo a 11 m → V-33; gasto y venta válidos → ACEPTADO (se aplica cada registro por separado)</t>
  </si>
  <si>
    <t xml:space="preserve">CP-RF-36-05</t>
  </si>
  <si>
    <t xml:space="preserve">S-01 con eliminado = true para un registro de tipo finca, ciclo, ciclo_cultivo y gasto</t>
  </si>
  <si>
    <t xml:space="preserve">Finca, ciclo y cultivo del ciclo: RECHAZADO con E-11 y quedan como estaban; el gasto se acepta y queda con eliminado = 1</t>
  </si>
  <si>
    <t xml:space="preserve">eliminado = true: finca, ciclo y cultivo del ciclo → RECHAZADO E-11 (quedan como estaban); gasto → ACEPTADO y queda con eliminado</t>
  </si>
  <si>
    <t xml:space="preserve">CP-RF-37-01</t>
  </si>
  <si>
    <t xml:space="preserve">Instalar en un servidor nuevo y abrir la app</t>
  </si>
  <si>
    <t xml:space="preserve">Los 3 cultivos y sus fichas técnicas aparecen en la base de datos y en el dispositivo</t>
  </si>
  <si>
    <t xml:space="preserve">Servidor: Base recién creada con la semilla: 3 cultivos (CAFE, PLATANO, YUCA), cada uno con su ficha técnica, y C-01 los entrega. Sincronización con el dispositivo: ver e2e_plan.cjs | Pantalla: el catálogo muestra Café, Plátano y Yuca sin que el usuario haga nada (almacenes locales: catalogo, meta, registros, sesion)</t>
  </si>
  <si>
    <t xml:space="preserve">CP-RF-37-02</t>
  </si>
  <si>
    <t xml:space="preserve">Cargar los datos semilla dos veces</t>
  </si>
  <si>
    <t xml:space="preserve">No se duplican los cultivos</t>
  </si>
  <si>
    <t xml:space="preserve">Semilla cargada de nuevo 2 veces: cultivos 3 → 3; no se duplican</t>
  </si>
  <si>
    <t xml:space="preserve">CP-RF-37-03</t>
  </si>
  <si>
    <t xml:space="preserve">AD-04: actualizar el café con distancia_min_m 1,2 y distancia_max_m 2,2 y consultar C-01 con una fecha anterior</t>
  </si>
  <si>
    <t xml:space="preserve">200; C-01 devuelve el café con los valores nuevos</t>
  </si>
  <si>
    <t xml:space="preserve">AD-04: 200; C-01 con fecha anterior devuelve solo el café con distancia 1.2–2.2 m</t>
  </si>
  <si>
    <t xml:space="preserve">CP-RF-37-04</t>
  </si>
  <si>
    <t xml:space="preserve">AD-04 con distancia_min_m 0 / mínimo 2,5 con máximo 2,0 / marcos ['hexagonal'] / código 'ARROZ'</t>
  </si>
  <si>
    <t xml:space="preserve">Los tres primeros se rechazan con E-08 y sus campos; el código desconocido da 404 E-07</t>
  </si>
  <si>
    <t xml:space="preserve">AD-04 inválido: distancia_min_m 0 → E-08 en distancia_min_m; mínimo 2,5 con máximo 2,0 → E-08 en distancia_max_m; marcos ['hexagonal'] → E-08 en marcos_permitidos; código «ARROZ» → 404 E-07</t>
  </si>
  <si>
    <t xml:space="preserve">CP-RF-37-05</t>
  </si>
  <si>
    <t xml:space="preserve">Intentar con SQL directo borrar un cultivo que tiene ciclos y otro que no tiene</t>
  </si>
  <si>
    <t xml:space="preserve">La base rechaza el primero (error de llave foránea, RESTRICT) y el catálogo queda intacto; el segundo solo se borra en la base de pruebas</t>
  </si>
  <si>
    <t xml:space="preserve">Borrar el café (tiene ciclos): la base lo rechaza (llave foránea RESTRICT) y quedan 3 cultivos. Borrar la yuca (sin ciclos), solo en la base de pruebas: queda 2</t>
  </si>
  <si>
    <t xml:space="preserve">CP-RNF-01</t>
  </si>
  <si>
    <t xml:space="preserve">Rendimiento</t>
  </si>
  <si>
    <t xml:space="preserve">Medir con performance.now() 20 cálculos en un equipo de 2 GB de RAM: 95 % ≤ 2,0 s</t>
  </si>
  <si>
    <t xml:space="preserve">20 cálculos de matas por hectárea medidos con performance.now() y el procesador 4 veces más lento: p95 = 6 ms, máximo = 6 ms (meta ≤ 2.000 ms). Medido en el entorno de desarrollo (Chromium sin pantalla), no en un teléfono de 2 GB de RAM | Pendiente: Medido en el entorno de desarrollo (Chromium sin pantalla, procesador 4 veces más lento): ver e2e_plan.cjs. Falta repetirlo en el equipo de 2 GB de RAM que exige el plan.</t>
  </si>
  <si>
    <t xml:space="preserve">CP-RNF-05</t>
  </si>
  <si>
    <t xml:space="preserve">5 agricultores registran un gasto y calculan matas sin ayuda: ≥ 90 % de éxito en ≤ 3 pantallas y &lt; 2 min</t>
  </si>
  <si>
    <t xml:space="preserve">Requiere a 5 agricultores reales haciendo las tareas sin ayuda (cronómetro y observación). No se puede automatizar.</t>
  </si>
  <si>
    <t xml:space="preserve">CP-RNF-07</t>
  </si>
  <si>
    <t xml:space="preserve">Accesibilidad</t>
  </si>
  <si>
    <t xml:space="preserve">Lighthouse (herramienta de Chrome) y revisión manual: texto de contenido ≥ 18 px y etiquetas secundarias ≥ 16 px, botones ≥ 48 × 48 px, contraste ≥ 4,5:1</t>
  </si>
  <si>
    <t xml:space="preserve">Medición automática en 7 pantallas (127 textos, 59 botones/campos): texto de contenido menor de 18 px: 0; etiquetas secundarias (pestañas, pastillas, insignias, botones segmentados) medidas: 29, todas de 16 px o más; texto menor de 16 px: 0; controles menores de 48 × 48 px: 0; contraste bajo (&lt; 4,5:1): 0. Lighthouse y la revisión manual con WCAG 2.1 AA no se ejecutaron | Pendiente: La medición automática en 7 pantallas pasa (ver e2e_plan.cjs). Faltan Lighthouse (Chrome) y la revisión manual de WCAG 2.1 AA con personas. Quedan etiquetas de navegación, indicadores y marcos de 16 px (el resto del texto es de 18 px).</t>
  </si>
  <si>
    <t xml:space="preserve">CP-RNF-09</t>
  </si>
  <si>
    <t xml:space="preserve">Enviar '&lt;script&gt;alert(1)&lt;/script&gt;' y "' OR 1=1 --" en cada campo de texto: se rechazan o se muestran como texto; OWASP ZAP sin alertas altas</t>
  </si>
  <si>
    <t xml:space="preserve">Servidor: Nombre de usuario, finca y lote con «&lt;script&gt;…» y «' OR 1=1 --»: rechazados. Observaciones del gasto (texto libre): «&lt;script&gt;alert(1)&lt;/script&gt;» → RECHAZADO; «' OR 1=1 --» → RECHAZADO. La pantalla muestra todo como texto (esc) — ver e2e_plan.cjs. OWASP ZAP: no se ejecutó | Pantalla: Nombre «&lt;script&gt;alert(1)&lt;/script&gt;» rechazado con V-01; observaciones del gasto con &lt;img onerror&gt; y &lt;script&gt;: rechazadas (V-38); 0 diálogos de alerta y 0 elementos inyectados en la pantalla. OWASP ZAP: no se ejecutó | Pendiente: Inyección de «&lt;script&gt;», «&lt;img onerror&gt;» y «' OR 1=1 --» probada en formularios y servidor (ver pruebas). Falta ejecutar OWASP ZAP contra el servidor publicado.</t>
  </si>
  <si>
    <t xml:space="preserve">CP-RNF-10</t>
  </si>
  <si>
    <t xml:space="preserve">Con modo avión, las funciones del cliente funcionan al 100 %; un monitor externo consulta /api/v1/salud cada 5 minutos y registra la disponibilidad mensual del servidor (meta 99,0 %)</t>
  </si>
  <si>
    <t xml:space="preserve">Parte del dispositivo: con modo avión y la app recargada funcionaron 6 de 6 funciones locales probadas (catálogo, calculadora, gasto, jornal, fincas, finanzas). Parte del servidor (inactividad mensual ≤ 7,2 h): requiere medir un mes de operación con el servidor publicado | Pendiente: La parte del dispositivo pasa (6 de 6 funciones sin conexión). Falta medir la disponibilidad mensual del servidor publicado (meta 99,0 %).</t>
  </si>
  <si>
    <t xml:space="preserve">CP-RNF-11</t>
  </si>
  <si>
    <t xml:space="preserve">Fiabilidad</t>
  </si>
  <si>
    <t xml:space="preserve">Cerrar el navegador de forma abrupta y cortar la red durante el envío: 0 registros perdidos, duplicados o corruptos</t>
  </si>
  <si>
    <t xml:space="preserve">Envío cortado antes de llegar (1 pendiente), respuesta perdida tras llegar (1 pendiente) y cierre brusco del navegador (al reabrir había 0 pendiente y el envío automático terminó): 0 registros perdidos y 1 solo gasto de $ 21.000 en el servidor (0 duplicados)</t>
  </si>
  <si>
    <t xml:space="preserve">CP-RNF-14</t>
  </si>
  <si>
    <t xml:space="preserve">Revisar con SSL Labs (prueba de HTTPS) que solo se acepta TLS 1.2+; revisar que todas las consultas usan el ORM</t>
  </si>
  <si>
    <t xml:space="preserve">Revisión de consultas hecha: todo el acceso a datos usa el ORM (SQLAlchemy); solo hay dos sentencias fijas sin datos del usuario (PRAGMA y SELECT 1) y las cabeceras HSTS y CSP están activas. Falta SSL Labs, que solo funciona contra el sitio publicado con HTTPS.</t>
  </si>
  <si>
    <t xml:space="preserve">CP-RNF-15</t>
  </si>
  <si>
    <t xml:space="preserve">Llamar la API con token de otro usuario, y sin token, y los servicios AD con token de agricultor: 100 % de respuestas 401/403; un agricultor no ve datos de otro</t>
  </si>
  <si>
    <t xml:space="preserve">8 de 8 peticiones no autorizadas bloqueadas (401/403). Otro agricultor descarga 0 registros ajenos y su intento de escribir en un ciclo ajeno da 403 E-02</t>
  </si>
  <si>
    <t xml:space="preserve">CP-RNF-16</t>
  </si>
  <si>
    <t xml:space="preserve">Revisar la base de datos: 0 claves en texto plano; hash con bcrypt o Argon2 (algoritmos para cifrar claves)</t>
  </si>
  <si>
    <t xml:space="preserve">1 cuenta(s) en la base: 0 claves en texto plano; todas con hash Argon2id. Claves que incumplen la política → códigos [400, 429]</t>
  </si>
  <si>
    <t xml:space="preserve">CP-RNF-17</t>
  </si>
  <si>
    <t xml:space="preserve">Cumplimiento legal</t>
  </si>
  <si>
    <t xml:space="preserve">Registro sin aceptar la autorización: se rechaza; con aceptación, el consentimiento queda guardado con fecha</t>
  </si>
  <si>
    <t xml:space="preserve">Sin autorización: 400 V-08, no se crea cuenta. Con autorización: consentimiento = True guardado con fecha 2026-10-29 05:52</t>
  </si>
  <si>
    <t xml:space="preserve">CP-RNF-22</t>
  </si>
  <si>
    <t xml:space="preserve">Exactitud</t>
  </si>
  <si>
    <t xml:space="preserve">Pruebas unitarias con los valores oráculo de RF-18, RF-24 y RF-28: error relativo ≤ 0,0001 %</t>
  </si>
  <si>
    <t xml:space="preserve">Servidor: Peor error relativo de 7 cálculos frente a los valores oráculo del plan: 0.000000 % (meta ≤ 0,0001 %; los valores esperados ya traen el redondeo hacia arriba con 2 decimales). RF-18 cuadrado 1 m: 10000.0 vs 10000.0; RF-18 rectangular 2 × 1,5 m: 3333.34 vs 3333.34; RF-18 tresbolillo 3 m: 1283.01 vs 1283.01; RF-18 café 1,5 m: 4444.45 vs 4444.45; RF-24 3 × $60.000: 180000 vs 180000; RF-28 utilidad: 350000 vs 350000; RF-28 rentabilidad: 233.3 vs 233.3 | Dispositivo: peor error relativo de 6 cálculos = 0.00e+0 % (meta ≤ 0,0001 %)</t>
  </si>
  <si>
    <t xml:space="preserve">CP-RNF-25</t>
  </si>
  <si>
    <t xml:space="preserve">Forzar error 500, falla de base de datos y de red: 0 trazas técnicas visibles; mensaje claro en lenguaje sencillo</t>
  </si>
  <si>
    <t xml:space="preserve">Servidor: Error interno forzado: 500 con V-45 «No pudimos enviar sus datos ahora. Lo intentaremos de nuevo.» y sin trazas, rutas ni datos de la base. Ruta inexistente: 404 E-07; método no permitido: 405 E-03. Falla de red del dispositivo: ver e2e_plan.cjs | Pantalla: 500 con mensaje V-45 sin trazas (prueba test_CP_RNF_25). Pantalla: ante un error 500 se muestra solo el texto «No pudimos enviar sus datos ahora…», sin trazas ni códigos técnicos; no se muestran palabras como Traceback, undefined o Failed to fetch</t>
  </si>
  <si>
    <t xml:space="preserve">CP-GEN-01</t>
  </si>
  <si>
    <t xml:space="preserve">General</t>
  </si>
  <si>
    <t xml:space="preserve">Caja blanca</t>
  </si>
  <si>
    <t xml:space="preserve">Módulos de cálculo (densidad, área efectiva, utilidad): camino básico en 4 funciones, con 28 casos CB-01 a CB-28 (documento 22)</t>
  </si>
  <si>
    <t xml:space="preserve">Cobertura de sentencias y decisiones del 100 % en las 4 funciones (V(G) de 8, 9, 7 y 4); cobertura ≥ 80 % en la lógica de negocio; complejidad ciclomática ≤ 10 por función; duplicación ≤ 5 % (SonarQube Quality Gate)</t>
  </si>
  <si>
    <t xml:space="preserve">Los 28 casos CB-01 a CB-28 pasan y las 4 funciones tienen 100 % de líneas cubiertas (acceso.py y formulas.py). Falta el Quality Gate de SonarQube (duplicación ≤ 5 %), que se ejecuta en CI con SONAR_TOKEN.</t>
  </si>
  <si>
    <t xml:space="preserve">CP-GEN-02</t>
  </si>
  <si>
    <t xml:space="preserve">Validadores de entrada (nombre, correo, clave, montos)</t>
  </si>
  <si>
    <t xml:space="preserve">Cobertura de ramas ≥ 80 % con pytest (Python) y node:test (JavaScript)</t>
  </si>
  <si>
    <t xml:space="preserve">Cobertura medida de forma aproximada: validaciones.py 89 % de ramas y validaciones.js 91 % (node:test); la meta es ≥ 80 %. Falta confirmarlo con pytest-cov --cov-branch, que corre en CI.</t>
  </si>
  <si>
    <t xml:space="preserve">CP-GEN-03</t>
  </si>
  <si>
    <t xml:space="preserve">Proceso</t>
  </si>
  <si>
    <t xml:space="preserve">Cada iteración</t>
  </si>
  <si>
    <t xml:space="preserve">Registro de tiempos y defectos (PSP) y 25 métricas con meta (documento 23); densidad de defectos por requisito</t>
  </si>
  <si>
    <t xml:space="preserve">Es del equipo: las bitácoras de tiempo (PSP) y el registro de defectos se llenan durante las iteraciones (documento 23). No se inventan datos de tiempo.</t>
  </si>
  <si>
    <t xml:space="preserve">CP-GEN-04</t>
  </si>
  <si>
    <t xml:space="preserve">Humo</t>
  </si>
  <si>
    <t xml:space="preserve">Antes de la sustentación (3 min)</t>
  </si>
  <si>
    <t xml:space="preserve">Los 6 pasos del Apéndice I del ERS terminan sin error</t>
  </si>
  <si>
    <t xml:space="preserve">Se ejecuta antes de la sustentación sobre el sitio publicado (3 min, 6 pasos del Apéndice I del ERS). Los mismos pasos corren hoy en local en e2e.cjs.</t>
  </si>
  <si>
    <t xml:space="preserve">CP-V-01-OK</t>
  </si>
  <si>
    <t xml:space="preserve">Validación (dato válido)</t>
  </si>
  <si>
    <t xml:space="preserve">Registro — Nombre: María Pérez</t>
  </si>
  <si>
    <t xml:space="preserve">El sistema acepta el dato y continúa con el siguiente paso</t>
  </si>
  <si>
    <t xml:space="preserve">Nombre «María Pérez»: cuenta PENDIENTE creada (201)</t>
  </si>
  <si>
    <t xml:space="preserve">CP-V-01-ERR</t>
  </si>
  <si>
    <t xml:space="preserve">Validación (dato inválido)</t>
  </si>
  <si>
    <t xml:space="preserve">Registro — Nombre: aaaaa</t>
  </si>
  <si>
    <t xml:space="preserve">Muestra «Escriba su nombre completo con letras (entre 2 y 60 caracteres).», no avanza y conserva lo escrito</t>
  </si>
  <si>
    <t xml:space="preserve">Nombre «aaaaa»: 400 V-01 «Escriba su nombre completo con letras (entre 2 y 60 caracteres).»; no se crea la cuenta</t>
  </si>
  <si>
    <t xml:space="preserve">CP-V-02-OK</t>
  </si>
  <si>
    <t xml:space="preserve">Registro — Ubicación: Caloto, Cauca</t>
  </si>
  <si>
    <t xml:space="preserve">Ubicación «Caloto, Cauca»: aceptada (201)</t>
  </si>
  <si>
    <t xml:space="preserve">CP-V-02-ERR</t>
  </si>
  <si>
    <t xml:space="preserve">Registro — Ubicación: 0</t>
  </si>
  <si>
    <t xml:space="preserve">Muestra «Escriba el municipio o la vereda (entre 3 y 60 caracteres).», no avanza y conserva lo escrito</t>
  </si>
  <si>
    <t xml:space="preserve">Ubicación «0»: 400 V-02 «Escriba el municipio o la vereda (entre 3 y 60 caracteres).»</t>
  </si>
  <si>
    <t xml:space="preserve">CP-V-03-OK</t>
  </si>
  <si>
    <t xml:space="preserve">Registro — Correo: Maria@Correo.com</t>
  </si>
  <si>
    <t xml:space="preserve">Correo «Maria@Correo.com»: aceptado y guardado en minúsculas (maria@correo.com)</t>
  </si>
  <si>
    <t xml:space="preserve">CP-V-03-ERR</t>
  </si>
  <si>
    <t xml:space="preserve">Registro — Correo: 0@0</t>
  </si>
  <si>
    <t xml:space="preserve">Muestra «Escriba un correo válido, por ejemplo nombre@correo.com.», no avanza y conserva lo escrito</t>
  </si>
  <si>
    <t xml:space="preserve">Correo «0@0»: 400 V-03 «Escriba un correo válido, por ejemplo nombre@correo.com.»</t>
  </si>
  <si>
    <t xml:space="preserve">CP-V-04-OK</t>
  </si>
  <si>
    <t xml:space="preserve">Registro — Confirmar correo: maria@correo.com</t>
  </si>
  <si>
    <t xml:space="preserve">Confirmación idéntica sin distinguir mayúsculas: aceptada (201)</t>
  </si>
  <si>
    <t xml:space="preserve">CP-V-04-ERR</t>
  </si>
  <si>
    <t xml:space="preserve">Registro — Confirmar correo: maria@correo.co</t>
  </si>
  <si>
    <t xml:space="preserve">Muestra «Los dos correos no coinciden.», no avanza y conserva lo escrito</t>
  </si>
  <si>
    <t xml:space="preserve">Confirmación «maria@correo.co»: 400 V-04 «Los dos correos no coinciden.»</t>
  </si>
  <si>
    <t xml:space="preserve">CP-V-05-OK</t>
  </si>
  <si>
    <t xml:space="preserve">Registro — Correo ya usado por una cuenta activa: ana@correo.com (nuevo)</t>
  </si>
  <si>
    <t xml:space="preserve">Correo nuevo «ana@correo.com» con otra cuenta activa existente: aceptado (201)</t>
  </si>
  <si>
    <t xml:space="preserve">CP-V-05-ERR</t>
  </si>
  <si>
    <t xml:space="preserve">Registro — Correo ya usado por una cuenta activa: maria@correo.com (ya activo)</t>
  </si>
  <si>
    <t xml:space="preserve">Muestra «Este correo ya está registrado. Inicie sesión.», no avanza y conserva lo escrito</t>
  </si>
  <si>
    <t xml:space="preserve">Correo de cuenta activa: 409 V-05 «Este correo ya está registrado. Inicie sesión.»; no se crea otra cuenta</t>
  </si>
  <si>
    <t xml:space="preserve">CP-V-06-OK</t>
  </si>
  <si>
    <t xml:space="preserve">Registro — Correo con cuenta pendiente: —</t>
  </si>
  <si>
    <t xml:space="preserve">Sin cuenta pendiente previa (el plan indica «—»): registro aceptado (201)</t>
  </si>
  <si>
    <t xml:space="preserve">CP-V-06-ERR</t>
  </si>
  <si>
    <t xml:space="preserve">Registro — Correo con cuenta pendiente: maria@correo.com (pendiente)</t>
  </si>
  <si>
    <t xml:space="preserve">Muestra «Este correo tiene una cuenta pendiente de activar. Revise su correo o intente de nuevo después de 24 horas.», no avanza y conserva lo escrito</t>
  </si>
  <si>
    <t xml:space="preserve">Correo con cuenta pendiente de menos de 24 h: 409 V-06 «Este correo tiene una cuenta pendiente de activar. Revise su correo o intente de nuevo después de 24 horas.»</t>
  </si>
  <si>
    <t xml:space="preserve">CP-V-07-OK</t>
  </si>
  <si>
    <t xml:space="preserve">Registro — Clave: Cafe#Cauca2026</t>
  </si>
  <si>
    <t xml:space="preserve">Clave «Cafe#Cauca2026»: aceptada (201)</t>
  </si>
  <si>
    <t xml:space="preserve">CP-V-07-ERR</t>
  </si>
  <si>
    <t xml:space="preserve">Registro — Clave: abcdefghij</t>
  </si>
  <si>
    <t xml:space="preserve">Muestra «La clave debe tener de 10 a 64 caracteres, con mayúscula, minúscula, número y símbolo (sin espacios ni tildes).», no avanza y conserva lo escrito</t>
  </si>
  <si>
    <t xml:space="preserve">Clave «abcdefghij»: 400 V-07 «La clave debe tener de 10 a 64 caracteres, con mayúscula, minúscula, número y símbolo (sin espacios ni tildes).»</t>
  </si>
  <si>
    <t xml:space="preserve">CP-V-08-OK</t>
  </si>
  <si>
    <t xml:space="preserve">Registro — Autorización de datos (Ley 1581): Marcada</t>
  </si>
  <si>
    <t xml:space="preserve">Casilla de la Ley 1581 marcada: cuenta creada (201)</t>
  </si>
  <si>
    <t xml:space="preserve">CP-V-08-ERR</t>
  </si>
  <si>
    <t xml:space="preserve">Registro — Autorización de datos (Ley 1581): Sin marcar</t>
  </si>
  <si>
    <t xml:space="preserve">Muestra «Debe aceptar el tratamiento de datos personales para registrarse.», no avanza y conserva lo escrito</t>
  </si>
  <si>
    <t xml:space="preserve">Casilla sin marcar: 400 V-08 «Debe aceptar el tratamiento de datos personales para registrarse.»; no se crea la cuenta</t>
  </si>
  <si>
    <t xml:space="preserve">CP-V-09-OK</t>
  </si>
  <si>
    <t xml:space="preserve">Código OTP — Formato del código: 482915</t>
  </si>
  <si>
    <t xml:space="preserve">Código «482915» (6 dígitos): cuenta ACTIVA (200)</t>
  </si>
  <si>
    <t xml:space="preserve">CP-V-09-ERR</t>
  </si>
  <si>
    <t xml:space="preserve">Código OTP — Formato del código: 48A</t>
  </si>
  <si>
    <t xml:space="preserve">Muestra «Escriba los 6 dígitos del código.», no avanza y conserva lo escrito</t>
  </si>
  <si>
    <t xml:space="preserve">Código «48A»: 400 V-09 «Escriba los 6 dígitos del código.»</t>
  </si>
  <si>
    <t xml:space="preserve">CP-V-10-OK</t>
  </si>
  <si>
    <t xml:space="preserve">Código OTP — Código incorrecto: Código enviado</t>
  </si>
  <si>
    <t xml:space="preserve">Código enviado: cuenta ACTIVA (200)</t>
  </si>
  <si>
    <t xml:space="preserve">CP-V-10-ERR</t>
  </si>
  <si>
    <t xml:space="preserve">Código OTP — Código incorrecto: Código distinto al enviado</t>
  </si>
  <si>
    <t xml:space="preserve">Muestra «Código incorrecto. Le quedan N intentos.», no avanza y conserva lo escrito</t>
  </si>
  <si>
    <t xml:space="preserve">Código distinto al enviado: 400 V-10 con intentos_restantes = 4 «Código incorrecto. Le quedan 4 intentos.»</t>
  </si>
  <si>
    <t xml:space="preserve">CP-V-11-OK</t>
  </si>
  <si>
    <t xml:space="preserve">Código OTP — Código vencido: A los 14 min 59 s</t>
  </si>
  <si>
    <t xml:space="preserve">Código usado a los 14 min 59 s: cuenta ACTIVA (200)</t>
  </si>
  <si>
    <t xml:space="preserve">CP-V-11-ERR</t>
  </si>
  <si>
    <t xml:space="preserve">Código OTP — Código vencido: A los 15 min 01 s</t>
  </si>
  <si>
    <t xml:space="preserve">Muestra «El código venció. Pida uno nuevo.», no avanza y conserva lo escrito</t>
  </si>
  <si>
    <t xml:space="preserve">Código usado a los 15 min 01 s: 400 V-11 «El código venció. Pida uno nuevo.»</t>
  </si>
  <si>
    <t xml:space="preserve">CP-V-12-OK</t>
  </si>
  <si>
    <t xml:space="preserve">Código OTP — Intentos agotados: —</t>
  </si>
  <si>
    <t xml:space="preserve">El plan indica «—»; con 4 fallos el código correcto todavía activa la cuenta (200)</t>
  </si>
  <si>
    <t xml:space="preserve">CP-V-12-ERR</t>
  </si>
  <si>
    <t xml:space="preserve">Código OTP — Intentos agotados: 6.º intento con el mismo código</t>
  </si>
  <si>
    <t xml:space="preserve">Muestra «Demasiados intentos. Pida un código nuevo.», no avanza y conserva lo escrito</t>
  </si>
  <si>
    <t xml:space="preserve">5.º fallo: 423 V-12 «Demasiados intentos. Pida un código nuevo.»; un 6.º intento, aun con el código correcto, también da 423</t>
  </si>
  <si>
    <t xml:space="preserve">CP-V-13-OK</t>
  </si>
  <si>
    <t xml:space="preserve">Código OTP — Espera entre reenvíos: Reenvío a los 60 s</t>
  </si>
  <si>
    <t xml:space="preserve">Reenvío a los 60 s: 200, código nuevo; reenvios_restantes = 2</t>
  </si>
  <si>
    <t xml:space="preserve">CP-V-13-ERR</t>
  </si>
  <si>
    <t xml:space="preserve">Código OTP — Espera entre reenvíos: Reenvío a los 30 s</t>
  </si>
  <si>
    <t xml:space="preserve">Muestra «Espere N segundos para pedir otro código.», no avanza y conserva lo escrito</t>
  </si>
  <si>
    <t xml:space="preserve">Reenvío a los 30 s: 429 V-13, espera restante 30 s, cabecera Retry-After presente</t>
  </si>
  <si>
    <t xml:space="preserve">CP-V-14-OK</t>
  </si>
  <si>
    <t xml:space="preserve">Código OTP — Máximo de reenvíos: 3.er reenvío</t>
  </si>
  <si>
    <t xml:space="preserve">3.er reenvío: 200; reenvios_restantes = 0</t>
  </si>
  <si>
    <t xml:space="preserve">CP-V-14-ERR</t>
  </si>
  <si>
    <t xml:space="preserve">Código OTP — Máximo de reenvíos: 4.º reenvío</t>
  </si>
  <si>
    <t xml:space="preserve">Muestra «Llegó al máximo de 3 reenvíos. Intente de nuevo después de 24 horas.», no avanza y conserva lo escrito</t>
  </si>
  <si>
    <t xml:space="preserve">4.º reenvío: 429 V-14 «Llegó al máximo de 3 reenvíos. Intente de nuevo después de 24 horas.»</t>
  </si>
  <si>
    <t xml:space="preserve">CP-V-15-OK</t>
  </si>
  <si>
    <t xml:space="preserve">Código OTP — Cuenta pendiente de más de 24 horas: Activar a las 23 h</t>
  </si>
  <si>
    <t xml:space="preserve">Activación a las 23 h: cuenta ACTIVA (200)</t>
  </si>
  <si>
    <t xml:space="preserve">CP-V-15-ERR</t>
  </si>
  <si>
    <t xml:space="preserve">Código OTP — Cuenta pendiente de más de 24 horas: Activar a las 25 h</t>
  </si>
  <si>
    <t xml:space="preserve">Muestra «La cuenta venció. Regístrese de nuevo.», no avanza y conserva lo escrito</t>
  </si>
  <si>
    <t xml:space="preserve">Activación a las 25 h: 410 V-15 «La cuenta venció. Regístrese de nuevo.»; la cuenta fue eliminada y el correo queda libre</t>
  </si>
  <si>
    <t xml:space="preserve">CP-V-16-OK</t>
  </si>
  <si>
    <t xml:space="preserve">Inicio de sesión — Correo y clave vacíos: Ambos escritos</t>
  </si>
  <si>
    <t xml:space="preserve">Correo y clave escritos: ingreso aceptado (200)</t>
  </si>
  <si>
    <t xml:space="preserve">CP-V-16-ERR</t>
  </si>
  <si>
    <t xml:space="preserve">Inicio de sesión — Correo y clave vacíos: Clave vacía</t>
  </si>
  <si>
    <t xml:space="preserve">Muestra «Escriba su correo y su clave.», no avanza y conserva lo escrito</t>
  </si>
  <si>
    <t xml:space="preserve">Clave vacía: 400 V-16 «Escriba su correo y su clave.»</t>
  </si>
  <si>
    <t xml:space="preserve">CP-V-17-OK</t>
  </si>
  <si>
    <t xml:space="preserve">Inicio de sesión — Credenciales: Correo y clave correctos</t>
  </si>
  <si>
    <t xml:space="preserve">Correo (sin distinguir mayúsculas) y clave correctos: 200 con token de sesión</t>
  </si>
  <si>
    <t xml:space="preserve">CP-V-17-ERR</t>
  </si>
  <si>
    <t xml:space="preserve">Inicio de sesión — Credenciales: Clave equivocada</t>
  </si>
  <si>
    <t xml:space="preserve">Muestra «Correo o clave incorrectos.», no avanza y conserva lo escrito</t>
  </si>
  <si>
    <t xml:space="preserve">Clave equivocada: 401 V-17 «Correo o clave incorrectos.» (no revela si falló el correo o la clave)</t>
  </si>
  <si>
    <t xml:space="preserve">CP-V-18-OK</t>
  </si>
  <si>
    <t xml:space="preserve">Inicio de sesión — Bloqueo por intentos: 4.º intento fallido</t>
  </si>
  <si>
    <t xml:space="preserve">4 fallos seguidos (401) y luego la clave correcta: ingresa (200)</t>
  </si>
  <si>
    <t xml:space="preserve">CP-V-18-ERR</t>
  </si>
  <si>
    <t xml:space="preserve">Inicio de sesión — Bloqueo por intentos: 5.º intento fallido</t>
  </si>
  <si>
    <t xml:space="preserve">Muestra «Cuenta bloqueada por 15 minutos. Intente de nuevo a las HH:MM.», no avanza y conserva lo escrito</t>
  </si>
  <si>
    <t xml:space="preserve">5.º fallo: 423 V-18, bloqueo de 15 min hasta 2026-10-29T06:07:17.088Z «Cuenta bloqueada por 15 minutos. Intente de nuevo a las 01:07.»</t>
  </si>
  <si>
    <t xml:space="preserve">CP-V-19-OK</t>
  </si>
  <si>
    <t xml:space="preserve">Inicio de sesión — Cuenta pendiente: Cuenta activa</t>
  </si>
  <si>
    <t xml:space="preserve">Cuenta ACTIVA: inicia sesión (200)</t>
  </si>
  <si>
    <t xml:space="preserve">CP-V-19-ERR</t>
  </si>
  <si>
    <t xml:space="preserve">Inicio de sesión — Cuenta pendiente: Cuenta pendiente</t>
  </si>
  <si>
    <t xml:space="preserve">Muestra «Su cuenta aún no está activada. Ingrese el código que llegó a su correo.», no avanza y conserva lo escrito</t>
  </si>
  <si>
    <t xml:space="preserve">Cuenta PENDIENTE: 403 V-19 con accion VERIFICAR_OTP y token de activación «Su cuenta aún no está activada. Ingrese el código que llegó a su correo.»</t>
  </si>
  <si>
    <t xml:space="preserve">CP-V-20-OK</t>
  </si>
  <si>
    <t xml:space="preserve">Cerrar sesión — Registros sin enviar: Sin pendientes</t>
  </si>
  <si>
    <t xml:space="preserve">Cerrar sesión sin pendientes: cierra directamente, sin pedir confirmación</t>
  </si>
  <si>
    <t xml:space="preserve">CP-V-20-ERR</t>
  </si>
  <si>
    <t xml:space="preserve">Cerrar sesión — Registros sin enviar: 3 pendientes</t>
  </si>
  <si>
    <t xml:space="preserve">Muestra «Tiene N registros sin enviar. Se conservarán en este dispositivo. ¿Cerrar sesión?», no avanza y conserva lo escrito</t>
  </si>
  <si>
    <t xml:space="preserve">Cerrar sesión con 3 pendientes: muestra «Tiene 3 registros sin enviar. Se conservarán en este dispositivo. ¿Cerrar sesión?», no cierra mientras no se confirme y conserva los datos</t>
  </si>
  <si>
    <t xml:space="preserve">CP-V-21-OK</t>
  </si>
  <si>
    <t xml:space="preserve">Servidor (comando crear_admin) — Segundo administrador: Primer administrador</t>
  </si>
  <si>
    <t xml:space="preserve">Primer administrador creado (rol ADMIN)</t>
  </si>
  <si>
    <t xml:space="preserve">CP-V-21-ERR</t>
  </si>
  <si>
    <t xml:space="preserve">Servidor (comando crear_admin) — Segundo administrador: Segundo administrador</t>
  </si>
  <si>
    <t xml:space="preserve">Muestra «Ya existe un administrador.», no avanza y conserva lo escrito</t>
  </si>
  <si>
    <t xml:space="preserve">Segundo administrador: rechazado («Ya existe un administrador.»); sigue habiendo uno solo</t>
  </si>
  <si>
    <t xml:space="preserve">CP-V-22-OK</t>
  </si>
  <si>
    <t xml:space="preserve">Finca y ciclo — Nombre de finca y de lote (opcional): Lote El Mirador</t>
  </si>
  <si>
    <t xml:space="preserve">Nombre de lote «Lote El Mirador»: ciclo aceptado</t>
  </si>
  <si>
    <t xml:space="preserve">CP-V-22-ERR</t>
  </si>
  <si>
    <t xml:space="preserve">Finca y ciclo — Nombre de finca y de lote (opcional): 0</t>
  </si>
  <si>
    <t xml:space="preserve">Muestra «Escriba un nombre de 2 a 60 caracteres con letras.», no avanza y conserva lo escrito</t>
  </si>
  <si>
    <t xml:space="preserve">Nombre de lote «0»: ciclo RECHAZADO V-22 «Escriba un nombre de 2 a 60 caracteres con letras.»</t>
  </si>
  <si>
    <t xml:space="preserve">CP-V-24-OK</t>
  </si>
  <si>
    <t xml:space="preserve">Ciclo — Área bruta: 1,0</t>
  </si>
  <si>
    <t xml:space="preserve">Área bruta 1,0 ha: aceptada</t>
  </si>
  <si>
    <t xml:space="preserve">CP-V-24-ERR</t>
  </si>
  <si>
    <t xml:space="preserve">Ciclo — Área bruta: 10.000,0001</t>
  </si>
  <si>
    <t xml:space="preserve">Muestra «El área debe estar entre 0,0001 y 10.000 hectáreas.», no avanza y conserva lo escrito</t>
  </si>
  <si>
    <t xml:space="preserve">Área bruta 10.000,0001 ha: RECHAZADO V-24 «El área debe estar entre 0,0001 y 10.000 hectáreas.»</t>
  </si>
  <si>
    <t xml:space="preserve">CP-V-25-OK</t>
  </si>
  <si>
    <t xml:space="preserve">Ciclo — Pendiente: 15</t>
  </si>
  <si>
    <t xml:space="preserve">Pendiente 15 %: aceptada</t>
  </si>
  <si>
    <t xml:space="preserve">CP-V-25-ERR</t>
  </si>
  <si>
    <t xml:space="preserve">Ciclo — Pendiente: 101</t>
  </si>
  <si>
    <t xml:space="preserve">Muestra «La pendiente debe estar entre 0 y 100 %.», no avanza y conserva lo escrito</t>
  </si>
  <si>
    <t xml:space="preserve">Pendiente 101 %: RECHAZADO V-25 «La pendiente debe estar entre 0 y 100 %.»</t>
  </si>
  <si>
    <t xml:space="preserve">CP-V-26-OK</t>
  </si>
  <si>
    <t xml:space="preserve">Ciclo — Área no sembrable: 0,1 ha con bruta 1,0</t>
  </si>
  <si>
    <t xml:space="preserve">No sembrable 0,1 ha con bruta 1,0 ha: aceptada</t>
  </si>
  <si>
    <t xml:space="preserve">CP-V-26-ERR</t>
  </si>
  <si>
    <t xml:space="preserve">Ciclo — Área no sembrable: 1,0 ha con bruta 1,0</t>
  </si>
  <si>
    <t xml:space="preserve">Muestra «El área no sembrable debe ser menor que el área bruta.», no avanza y conserva lo escrito</t>
  </si>
  <si>
    <t xml:space="preserve">No sembrable 1,0 ha con bruta 1,0 ha: RECHAZADO V-26 «El área no sembrable debe ser menor que el área bruta.»</t>
  </si>
  <si>
    <t xml:space="preserve">CP-V-27-OK</t>
  </si>
  <si>
    <t xml:space="preserve">Ciclo — Cultivo obligatorio: Café</t>
  </si>
  <si>
    <t xml:space="preserve">Cultivo Café del catálogo: aceptado</t>
  </si>
  <si>
    <t xml:space="preserve">CP-V-27-ERR</t>
  </si>
  <si>
    <t xml:space="preserve">Ciclo — Cultivo obligatorio: Sin cultivo</t>
  </si>
  <si>
    <t xml:space="preserve">Muestra «Seleccione un cultivo.», no avanza y conserva lo escrito</t>
  </si>
  <si>
    <t xml:space="preserve">Ciclo sin cultivo: RECHAZADO V-27 «Seleccione un cultivo.»</t>
  </si>
  <si>
    <t xml:space="preserve">CP-V-28-OK</t>
  </si>
  <si>
    <t xml:space="preserve">Ciclo, gastos, jornales e ingresos — Formato de fecha: 15/11/2026</t>
  </si>
  <si>
    <t xml:space="preserve">Fecha 15/11/2026 (2026-11-15) como siembra: aceptada</t>
  </si>
  <si>
    <t xml:space="preserve">CP-V-28-ERR</t>
  </si>
  <si>
    <t xml:space="preserve">Ciclo, gastos, jornales e ingresos — Formato de fecha: 31/02/2026</t>
  </si>
  <si>
    <t xml:space="preserve">Muestra «Elija una fecha válida del calendario.», no avanza y el campo de fecha queda vacío</t>
  </si>
  <si>
    <t xml:space="preserve">Fecha 31/02/2026: RECHAZADO V-28 «Elija una fecha válida del calendario.»</t>
  </si>
  <si>
    <t xml:space="preserve">CP-V-29-OK</t>
  </si>
  <si>
    <t xml:space="preserve">Ciclo — Fecha de cierre: Igual a la siembra (con siembra de hoy o anterior)</t>
  </si>
  <si>
    <t xml:space="preserve">Cierre igual a la siembra (2026-03-15): aceptado</t>
  </si>
  <si>
    <t xml:space="preserve">CP-V-29-ERR</t>
  </si>
  <si>
    <t xml:space="preserve">Ciclo — Fecha de cierre: Un día antes de la siembra</t>
  </si>
  <si>
    <t xml:space="preserve">Muestra «La fecha de cierre no puede ser anterior a la de siembra ni posterior a hoy.», no avanza y conserva lo escrito</t>
  </si>
  <si>
    <t xml:space="preserve">Cierre un día antes de la siembra: RECHAZADO V-29 «La fecha de cierre no puede ser anterior a la de siembra ni posterior a hoy.»</t>
  </si>
  <si>
    <t xml:space="preserve">CP-V-30-OK</t>
  </si>
  <si>
    <t xml:space="preserve">Ciclo — Cierre sin ingresos: Ciclo con ingresos</t>
  </si>
  <si>
    <t xml:space="preserve">Ciclo con ingresos: cierra directamente, sin pregunta</t>
  </si>
  <si>
    <t xml:space="preserve">CP-V-30-ERR</t>
  </si>
  <si>
    <t xml:space="preserve">Ciclo — Cierre sin ingresos: Ciclo sin ingresos</t>
  </si>
  <si>
    <t xml:space="preserve">Muestra «Este ciclo no tiene ingresos. ¿Desea cerrarlo de todos modos?», no avanza y conserva lo escrito</t>
  </si>
  <si>
    <t xml:space="preserve">Ciclo sin ingresos: muestra «Este ciclo no tiene ingresos. ¿Desea cerrarlo de todos modos?», no avanza y conserva la fecha escrita</t>
  </si>
  <si>
    <t xml:space="preserve">CP-V-31-OK</t>
  </si>
  <si>
    <t xml:space="preserve">Ciclo — Registro en ciclo cerrado: Ciclo activo</t>
  </si>
  <si>
    <t xml:space="preserve">Gasto en un ciclo ACTIVO: aceptado</t>
  </si>
  <si>
    <t xml:space="preserve">CP-V-31-ERR</t>
  </si>
  <si>
    <t xml:space="preserve">Ciclo — Registro en ciclo cerrado: Ciclo cerrado</t>
  </si>
  <si>
    <t xml:space="preserve">Muestra «Este ciclo está cerrado y no admite nuevos registros.», no avanza y conserva lo escrito</t>
  </si>
  <si>
    <t xml:space="preserve">Gasto en un ciclo CERRADO: RECHAZADO V-31 «Este ciclo está cerrado y no admite nuevos registros.»</t>
  </si>
  <si>
    <t xml:space="preserve">CP-V-32-OK</t>
  </si>
  <si>
    <t xml:space="preserve">Cálculo de matas — Marco de siembra: Cuadrado</t>
  </si>
  <si>
    <t xml:space="preserve">Marco «cuadrado»: aceptado</t>
  </si>
  <si>
    <t xml:space="preserve">CP-V-32-ERR</t>
  </si>
  <si>
    <t xml:space="preserve">Cálculo de matas — Marco de siembra: Sin elegir</t>
  </si>
  <si>
    <t xml:space="preserve">Muestra «Elija el marco de siembra.», no avanza y conserva lo escrito</t>
  </si>
  <si>
    <t xml:space="preserve">Marco «hexagonal» (no permitido): RECHAZADO V-32 «Elija el marco de siembra.». «Sin elegir» en la pantalla se prueba en e2e_plan.cjs</t>
  </si>
  <si>
    <t xml:space="preserve">CP-V-33-OK</t>
  </si>
  <si>
    <t xml:space="preserve">Cálculo de matas — Distancias: 1,5</t>
  </si>
  <si>
    <t xml:space="preserve">Distancia 1,5 m: aceptada</t>
  </si>
  <si>
    <t xml:space="preserve">CP-V-33-ERR</t>
  </si>
  <si>
    <t xml:space="preserve">Cálculo de matas — Distancias: 0</t>
  </si>
  <si>
    <t xml:space="preserve">Muestra «La distancia debe estar entre 0,01 y 10 metros.», no avanza y conserva lo escrito</t>
  </si>
  <si>
    <t xml:space="preserve">Distancia 0 m: RECHAZADO V-33 «La distancia debe estar entre 0,01 y 10 metros.»</t>
  </si>
  <si>
    <t xml:space="preserve">CP-V-34-OK</t>
  </si>
  <si>
    <t xml:space="preserve">Cálculo de matas — Distancia fuera del rango del cultivo: Dentro del rango</t>
  </si>
  <si>
    <t xml:space="preserve">Distancia 1,5 m dentro del rango del café (1,0 a 2,0 m): ('ok', 4444.45, None), sin advertencia</t>
  </si>
  <si>
    <t xml:space="preserve">CP-V-34-ERR</t>
  </si>
  <si>
    <t xml:space="preserve">Cálculo de matas — Distancia fuera del rango del cultivo: Menor que el mínimo del catálogo</t>
  </si>
  <si>
    <t xml:space="preserve">Muestra «Advertencia: la distancia está fuera del rango recomendado (mín.–máx. m). Puede continuar, pero la producción puede verse afectada.», no avanza y conserva lo escrito</t>
  </si>
  <si>
    <t xml:space="preserve">Distancia 0,5 m (menor que el mínimo del café): el cálculo no se bloquea; devuelve ('ok', 40000.0, 'V-34') (advertencia V-34 «Advertencia: la distancia está fuera del rango recomendado (mín.–máx. m). Puede continuar, pero la producción puede verse afectada.»)</t>
  </si>
  <si>
    <t xml:space="preserve">CP-V-35-OK</t>
  </si>
  <si>
    <t xml:space="preserve">Gasto — Valor: 150000</t>
  </si>
  <si>
    <t xml:space="preserve">Valor $150.000: gasto aceptado</t>
  </si>
  <si>
    <t xml:space="preserve">CP-V-35-ERR</t>
  </si>
  <si>
    <t xml:space="preserve">Gasto — Valor: 50000001</t>
  </si>
  <si>
    <t xml:space="preserve">Muestra «El valor debe estar entre $1 y $50.000.000.», no avanza y conserva lo escrito</t>
  </si>
  <si>
    <t xml:space="preserve">Valor $50.000.001: RECHAZADO V-35 «El valor debe estar entre $1 y $50.000.000.»</t>
  </si>
  <si>
    <t xml:space="preserve">CP-V-36-OK</t>
  </si>
  <si>
    <t xml:space="preserve">Gasto — Formato del valor: 150000</t>
  </si>
  <si>
    <t xml:space="preserve">Valor 150000 (solo dígitos): aceptado</t>
  </si>
  <si>
    <t xml:space="preserve">CP-V-36-ERR</t>
  </si>
  <si>
    <t xml:space="preserve">Gasto — Formato del valor: 1e5</t>
  </si>
  <si>
    <t xml:space="preserve">Muestra «Escriba solo números.», no avanza y conserva lo escrito</t>
  </si>
  <si>
    <t xml:space="preserve">Valor «1e5»: RECHAZADO V-36 «Escriba solo números.»</t>
  </si>
  <si>
    <t xml:space="preserve">CP-V-37-OK</t>
  </si>
  <si>
    <t xml:space="preserve">Gasto — Categoría: Abonos</t>
  </si>
  <si>
    <t xml:space="preserve">Categoría «abonos»: aceptada</t>
  </si>
  <si>
    <t xml:space="preserve">CP-V-37-ERR</t>
  </si>
  <si>
    <t xml:space="preserve">Gasto — Categoría: Sin elegir</t>
  </si>
  <si>
    <t xml:space="preserve">Muestra «Elija una categoría.», no avanza y conserva lo escrito</t>
  </si>
  <si>
    <t xml:space="preserve">Categoría sin elegir: RECHAZADO V-37 «Elija una categoría.»</t>
  </si>
  <si>
    <t xml:space="preserve">CP-V-38-OK</t>
  </si>
  <si>
    <t xml:space="preserve">Gasto — Observaciones: Abono para el ciclo 1</t>
  </si>
  <si>
    <t xml:space="preserve">Observaciones «Abono para el ciclo 1»: aceptadas</t>
  </si>
  <si>
    <t xml:space="preserve">CP-V-38-ERR</t>
  </si>
  <si>
    <t xml:space="preserve">Gasto — Observaciones: Texto de 151 caracteres</t>
  </si>
  <si>
    <t xml:space="preserve">Muestra «Escriba máximo 150 caracteres, solo con letras, números y los signos . , -», no avanza y conserva lo escrito</t>
  </si>
  <si>
    <t xml:space="preserve">Observaciones de 151 caracteres: RECHAZADO V-38 «Escriba máximo 150 caracteres, solo con letras, números y los signos . , -»</t>
  </si>
  <si>
    <t xml:space="preserve">CP-V-39-OK</t>
  </si>
  <si>
    <t xml:space="preserve">Jornales — Número de jornales: 1,5</t>
  </si>
  <si>
    <t xml:space="preserve">Jornales 1,5: aceptado</t>
  </si>
  <si>
    <t xml:space="preserve">CP-V-39-ERR</t>
  </si>
  <si>
    <t xml:space="preserve">Jornales — Número de jornales: 1,25</t>
  </si>
  <si>
    <t xml:space="preserve">Muestra «Los jornales deben estar entre 0,5 y 999, de medio en medio.», no avanza y conserva lo escrito</t>
  </si>
  <si>
    <t xml:space="preserve">Jornales 1,25: RECHAZADO V-39 «Los jornales deben estar entre 0,5 y 999, de medio en medio.»</t>
  </si>
  <si>
    <t xml:space="preserve">CP-V-40-OK</t>
  </si>
  <si>
    <t xml:space="preserve">Jornales — Valor diario: 60000</t>
  </si>
  <si>
    <t xml:space="preserve">Valor diario $60.000: aceptado</t>
  </si>
  <si>
    <t xml:space="preserve">CP-V-40-ERR</t>
  </si>
  <si>
    <t xml:space="preserve">Jornales — Valor diario: 0</t>
  </si>
  <si>
    <t xml:space="preserve">Muestra «El valor del jornal debe ser mayor que $0.», no avanza y conserva lo escrito</t>
  </si>
  <si>
    <t xml:space="preserve">Valor diario $0: RECHAZADO V-40 «El valor del jornal debe ser mayor que $0.»</t>
  </si>
  <si>
    <t xml:space="preserve">CP-V-41-OK</t>
  </si>
  <si>
    <t xml:space="preserve">Ingreso — Cantidad: 25</t>
  </si>
  <si>
    <t xml:space="preserve">Cantidad 25: ingreso aceptado</t>
  </si>
  <si>
    <t xml:space="preserve">CP-V-41-ERR</t>
  </si>
  <si>
    <t xml:space="preserve">Ingreso — Cantidad: 10001</t>
  </si>
  <si>
    <t xml:space="preserve">Muestra «La cantidad debe estar entre 0,1 y 10.000.», no avanza y conserva lo escrito</t>
  </si>
  <si>
    <t xml:space="preserve">Cantidad 10.001: RECHAZADO V-41 «La cantidad debe estar entre 0,1 y 10.000.»</t>
  </si>
  <si>
    <t xml:space="preserve">CP-V-42-OK</t>
  </si>
  <si>
    <t xml:space="preserve">Ingreso — Precio unitario: 180000</t>
  </si>
  <si>
    <t xml:space="preserve">Precio $180.000: aceptado</t>
  </si>
  <si>
    <t xml:space="preserve">CP-V-42-ERR</t>
  </si>
  <si>
    <t xml:space="preserve">Ingreso — Precio unitario: 0</t>
  </si>
  <si>
    <t xml:space="preserve">Muestra «El precio debe estar entre $1 y $50.000.000.», no avanza y conserva lo escrito</t>
  </si>
  <si>
    <t xml:space="preserve">Precio $0: RECHAZADO V-42 «El precio debe estar entre $1 y $50.000.000.»</t>
  </si>
  <si>
    <t xml:space="preserve">CP-V-43-OK</t>
  </si>
  <si>
    <t xml:space="preserve">Editar o eliminar — Deshacer: A los 10 s</t>
  </si>
  <si>
    <t xml:space="preserve">Deshacer a los 10 s: se acepta y el registro vuelve</t>
  </si>
  <si>
    <t xml:space="preserve">CP-V-43-ERR</t>
  </si>
  <si>
    <t xml:space="preserve">Editar o eliminar — Deshacer: A los 11 s</t>
  </si>
  <si>
    <t xml:space="preserve">Muestra «Ya no se puede deshacer.», no avanza y conserva lo escrito</t>
  </si>
  <si>
    <t xml:space="preserve">Deshacer a los 11 s: muestra «Ya no se puede deshacer.», no avanza y el registro sigue eliminado</t>
  </si>
  <si>
    <t xml:space="preserve">CP-V-44-OK</t>
  </si>
  <si>
    <t xml:space="preserve">Sincronización — Sin conexión: Con conexión</t>
  </si>
  <si>
    <t xml:space="preserve">Con conexión: no aparece el aviso de falta de conexión y se puede continuar</t>
  </si>
  <si>
    <t xml:space="preserve">CP-V-44-ERR</t>
  </si>
  <si>
    <t xml:space="preserve">Sincronización — Sin conexión: Sin conexión</t>
  </si>
  <si>
    <t xml:space="preserve">Muestra «Sin conexión: sus datos están guardados en este dispositivo y se enviarán solos.», no avanza y conserva lo escrito</t>
  </si>
  <si>
    <t xml:space="preserve">Sin conexión: muestra «Sin conexión: sus datos están guardados en este dispositivo y se enviarán solos.» y deja seguir trabajando</t>
  </si>
  <si>
    <t xml:space="preserve">CP-V-45-OK</t>
  </si>
  <si>
    <t xml:space="preserve">Sincronización — Falla del servidor: Envío correcto</t>
  </si>
  <si>
    <t xml:space="preserve">Envío correcto: el gasto pasa a sincronizado sin avisos de error</t>
  </si>
  <si>
    <t xml:space="preserve">CP-V-45-ERR</t>
  </si>
  <si>
    <t xml:space="preserve">Sincronización — Falla del servidor: Error del servidor</t>
  </si>
  <si>
    <t xml:space="preserve">Muestra «No pudimos enviar sus datos ahora. Lo intentaremos de nuevo.», no avanza y conserva lo escrito</t>
  </si>
  <si>
    <t xml:space="preserve">Error 500 del servidor: muestra «No pudimos enviar sus datos ahora. Lo intentaremos de nuevo.»; el gasto sigue PENDIENTE (1) en el dispositivo</t>
  </si>
  <si>
    <t xml:space="preserve">CP-V-46-OK</t>
  </si>
  <si>
    <t xml:space="preserve">Sincronización — Sesión vencida: Sesión vigente</t>
  </si>
  <si>
    <t xml:space="preserve">Sesión vigente: la sincronización responde 200</t>
  </si>
  <si>
    <t xml:space="preserve">CP-V-46-ERR</t>
  </si>
  <si>
    <t xml:space="preserve">Sincronización — Sesión vencida: Sesión de más de 30 días</t>
  </si>
  <si>
    <t xml:space="preserve">Muestra «Su sesión venció. Ingrese de nuevo; sus datos siguen guardados.», no avanza y conserva lo escrito</t>
  </si>
  <si>
    <t xml:space="preserve">Sesión de más de 30 días: 401 V-46 «Su sesión venció. Ingrese de nuevo; sus datos siguen guardados.». La conservación de datos locales se prueba en e2e_plan.cjs</t>
  </si>
  <si>
    <t xml:space="preserve">CP-V-47-OK</t>
  </si>
  <si>
    <t xml:space="preserve">Gasto, jornales e ingreso — Fecha del registro: Hoy</t>
  </si>
  <si>
    <t xml:space="preserve">Fecha de hoy: gasto aceptado</t>
  </si>
  <si>
    <t xml:space="preserve">CP-V-47-ERR</t>
  </si>
  <si>
    <t xml:space="preserve">Gasto, jornales e ingreso — Fecha del registro: Mañana</t>
  </si>
  <si>
    <t xml:space="preserve">Muestra «La fecha no puede ser posterior a hoy ni anterior a la siembra del ciclo.», no avanza y conserva lo escrito</t>
  </si>
  <si>
    <t xml:space="preserve">Fecha de mañana: RECHAZADO V-47 «La fecha no puede ser posterior a hoy ni anterior a la siembra del ciclo.»</t>
  </si>
  <si>
    <t xml:space="preserve">CP-V-48-OK</t>
  </si>
  <si>
    <t xml:space="preserve">Ciclo — Rango de la fecha de siembra: 15/11/2026</t>
  </si>
  <si>
    <t xml:space="preserve">Siembra 15/11/2026: aceptada</t>
  </si>
  <si>
    <t xml:space="preserve">CP-V-48-ERR</t>
  </si>
  <si>
    <t xml:space="preserve">Ciclo — Rango de la fecha de siembra: 01/01/2019</t>
  </si>
  <si>
    <t xml:space="preserve">Muestra «La fecha de siembra debe estar entre el 01/01/2020 y un año después de hoy.», no avanza y conserva lo escrito</t>
  </si>
  <si>
    <t xml:space="preserve">Siembra 01/01/2019: RECHAZADO V-48 «La fecha de siembra debe estar entre el 01/01/2020 y un año después de hoy.»</t>
  </si>
  <si>
    <t xml:space="preserve">CP-V-49-OK</t>
  </si>
  <si>
    <t xml:space="preserve">Ciclo — Vigencia del ciclo en años: 7</t>
  </si>
  <si>
    <t xml:space="preserve">Vigencia 7 años: aceptada</t>
  </si>
  <si>
    <t xml:space="preserve">CP-V-49-ERR</t>
  </si>
  <si>
    <t xml:space="preserve">Ciclo — Vigencia del ciclo en años: 51 o 2,5</t>
  </si>
  <si>
    <t xml:space="preserve">Muestra «La vigencia debe ser un número entero de años entre 1 y 50.», no avanza y conserva lo escrito</t>
  </si>
  <si>
    <t xml:space="preserve">Vigencia 51 y 2,5: RECHAZADO V-49 en ambos (51: La vigencia debe ser un número entero de años entre 1 y 50.; 2.5: La vigencia debe ser un número entero de años entre 1 y 50.)</t>
  </si>
  <si>
    <t xml:space="preserve">CP-V-50-OK</t>
  </si>
  <si>
    <t xml:space="preserve">Ciclo — Cultivo repetido en el ciclo: Plátano (nuevo en el ciclo)</t>
  </si>
  <si>
    <t xml:space="preserve">Plátano (nuevo en el ciclo): aceptado</t>
  </si>
  <si>
    <t xml:space="preserve">CP-V-50-ERR</t>
  </si>
  <si>
    <t xml:space="preserve">Ciclo — Cultivo repetido en el ciclo: Café (ya está en el ciclo)</t>
  </si>
  <si>
    <t xml:space="preserve">Muestra «Este cultivo ya está en el ciclo.», no avanza y conserva lo escrito</t>
  </si>
  <si>
    <t xml:space="preserve">Café repetido en el mismo ciclo: RECHAZADO V-50 «Este cultivo ya está en el ciclo.»</t>
  </si>
  <si>
    <t xml:space="preserve">CP-RF-18-08</t>
  </si>
  <si>
    <t xml:space="preserve">Café, 4.000 matas en el ciclo, siembra 15/03/2026, ficha con 20 meses, 2,5 cargas por cada 1.000 plantas y $ 2.220.000 por carga</t>
  </si>
  <si>
    <t xml:space="preserve">Primera cosecha 15/11/2027; producción 10 cargas por año; ingreso estimado $ 22.200.000; temporadas abril–junio y octubre–diciembre</t>
  </si>
  <si>
    <t xml:space="preserve">Café, 4.000 matas, siembra 15/03/2026: primera cosecha 2027-11-15; 10.0 cargas/año; ingreso $22,200,000 (temporadas abr–jun y oct–dic)</t>
  </si>
  <si>
    <t xml:space="preserve">CP-RF-18-09</t>
  </si>
  <si>
    <t xml:space="preserve">Yuca, 3.000 matas, siembra 20/01/2026, ficha con 10 meses, cosecha única, 28 bultos por cada 1.000 plantas y $ 68.250 por bulto</t>
  </si>
  <si>
    <t xml:space="preserve">Cosecha única el 20/11/2026; 84 bultos; ingreso estimado $ 5.733.000; sin temporadas</t>
  </si>
  <si>
    <t xml:space="preserve">Yuca, 3.000 matas, siembra 20/01/2026: cosecha única el 2026-11-20; 84.0 bultos; ingreso $5,733,000; sin temporadas</t>
  </si>
  <si>
    <t xml:space="preserve">CP-RF-18-10</t>
  </si>
  <si>
    <t xml:space="preserve">Ficha sin datos de cosecha; ficha con producción pero sin precio</t>
  </si>
  <si>
    <t xml:space="preserve">Sin datos de cosecha no hay proyección (no se inventan valores); sin precio se muestra la producción y no el ingreso</t>
  </si>
  <si>
    <t xml:space="preserve">Ficha sin datos de cosecha → proyección vacía (no se inventa nada); sin precio → producción sí, ingreso vacío</t>
  </si>
  <si>
    <t xml:space="preserve">CP-RF-18-11</t>
  </si>
  <si>
    <t xml:space="preserve">Café, cuadrado 1,5 m, 1 ha: 4.444,44 matas exactas; 0,9 ha efectivas; N_ha 4.444,4401</t>
  </si>
  <si>
    <t xml:space="preserve">4.445 matas en 1 ha (no existe media mata); 4.000 matas en 0,9 ha; N_ha se muestra 4.444,45 (siempre hacia arriba, máximo 2 decimales)</t>
  </si>
  <si>
    <t xml:space="preserve">1 ha con 1,5 m: 4.444,44 matas exactas → 4.445 (entera, hacia arriba); 0,9 ha → 4.000; N_ha 4.444,4401 → 4.444,45</t>
  </si>
  <si>
    <t xml:space="preserve">CP-RF-37-06</t>
  </si>
  <si>
    <t xml:space="preserve">Consultar el catálogo (C-01) y abrir la ficha del café y de la yuca</t>
  </si>
  <si>
    <t xml:space="preserve">El café trae 20 meses, 2,5 cargas por 1.000 plantas y $ 2.220.000 (09/04/2026); la yuca es de cosecha única y sin temporadas</t>
  </si>
  <si>
    <t xml:space="preserve">C-01 publica el café: primera cosecha 20 meses, 2.5 cargas/1.000 plantas, $2,220,000 (2026-04-09); la yuca es de cosecha única</t>
  </si>
  <si>
    <t xml:space="preserve">CP-RF-37-07</t>
  </si>
  <si>
    <t xml:space="preserve">AD-04 con meses 22, temporadas [10, 4, 5]; luego con meses 0 y 121, lista vacía, mes 13, mes repetido, producción 0 o 1,234, precio −1 o 60.000.000 y fecha 09/04/2026</t>
  </si>
  <si>
    <t xml:space="preserve">El primero se guarda con temporadas ordenadas [4, 5, 10]; los demás se rechazan con E-08 y su campo; una ficha sin esos campos no borra los guardados</t>
  </si>
  <si>
    <t xml:space="preserve">AD-04 guarda 22 meses y temporadas ordenadas [4, 5, 10]; rechaza con E-08 meses 0 y 121, lista vacía o con 13 o repetidos, producción 0 o con 3 decimales, precio negativo o sobre 50.000.000 y fecha dd/mm/aaaa; una ficha sin esos campos no borra los guardados</t>
  </si>
  <si>
    <t xml:space="preserve">Función</t>
  </si>
  <si>
    <t xml:space="preserve">Camino (nodos)</t>
  </si>
  <si>
    <t xml:space="preserve">Situación y datos de entrada</t>
  </si>
  <si>
    <t xml:space="preserve">CB-01</t>
  </si>
  <si>
    <t xml:space="preserve">matas_por_hectarea(marco, d1, d2, rango)</t>
  </si>
  <si>
    <t xml:space="preserve">1-X32</t>
  </si>
  <si>
    <t xml:space="preserve">Marco sin elegir. Marco: sin elegir; d1 = 1,5 m; rango del cultivo: 1,0 a 2,0 m</t>
  </si>
  <si>
    <t xml:space="preserve">Error V-32: «Elija el marco de siembra.»</t>
  </si>
  <si>
    <t xml:space="preserve">Camino 1-X32: marco sin elegir → ('error', 'V-32') «Elija el marco de siembra.»</t>
  </si>
  <si>
    <t xml:space="preserve">CB-02</t>
  </si>
  <si>
    <t xml:space="preserve">1-2-X33</t>
  </si>
  <si>
    <t xml:space="preserve">Distancia d1 igual a 0. Marco: cuadrado; d1 = 0,0 m; rango del cultivo: 1,0 a 2,0 m</t>
  </si>
  <si>
    <t xml:space="preserve">Error V-33: «La distancia debe estar entre 0,01 y 10 metros.»</t>
  </si>
  <si>
    <t xml:space="preserve">Camino 1-2-X33: d1 = 0,0 → ('error', 'V-33') «La distancia debe estar entre 0,01 y 10 metros.»</t>
  </si>
  <si>
    <t xml:space="preserve">CB-03</t>
  </si>
  <si>
    <t xml:space="preserve">1-2-3-4-X33</t>
  </si>
  <si>
    <t xml:space="preserve">Rectangular con d2 igual a 0. Marco: rectangular; d1 = 1,0 m; d2 = 0,0 m; rango del cultivo: 1,0 a 2,0 m</t>
  </si>
  <si>
    <t xml:space="preserve">Camino 1-2-3-4-X33: rectangular con d2 = 0,0 → ('error', 'V-33') «La distancia debe estar entre 0,01 y 10 metros.»</t>
  </si>
  <si>
    <t xml:space="preserve">CB-04</t>
  </si>
  <si>
    <t xml:space="preserve">1-2-3-4-5-9-10-13</t>
  </si>
  <si>
    <t xml:space="preserve">Rectangular sin rango en el catálogo. Marco: rectangular; d1 = 1,0 m; d2 = 1,5 m; el cultivo no tiene rango</t>
  </si>
  <si>
    <t xml:space="preserve">6.666,67 matas por hectárea sin advertencia</t>
  </si>
  <si>
    <t xml:space="preserve">Camino 1-2-3-4-5-9-10-13: rectangular 1,0 × 1,5 sin rango → ('ok', 6666.67, None): 6.666,67 matas/ha sin advertencia</t>
  </si>
  <si>
    <t xml:space="preserve">CB-05</t>
  </si>
  <si>
    <t xml:space="preserve">1-2-3-6-7-9-10-11-13</t>
  </si>
  <si>
    <t xml:space="preserve">Cuadrado dentro del rango (café 1,5 m). Marco: cuadrado; d1 = 1,5 m; rango del cultivo: 1,0 a 2,0 m</t>
  </si>
  <si>
    <t xml:space="preserve">4.444,45 matas por hectárea sin advertencia</t>
  </si>
  <si>
    <t xml:space="preserve">Camino 1-2-3-6-7-9-10-11-13: cuadrado 1,5 m dentro del rango → ('ok', 4444.45, None): 4.444,45 matas/ha (hacia arriba) sin advertencia</t>
  </si>
  <si>
    <t xml:space="preserve">CB-06</t>
  </si>
  <si>
    <t xml:space="preserve">1-2-3-6-8-9-10-11-13</t>
  </si>
  <si>
    <t xml:space="preserve">Tresbolillo dentro del rango (café 1,5 m). Marco: tresbolillo; d1 = 1,5 m; rango del cultivo: 1,0 a 2,0 m</t>
  </si>
  <si>
    <t xml:space="preserve">5.132,01 matas por hectárea sin advertencia</t>
  </si>
  <si>
    <t xml:space="preserve">Camino 1-2-3-6-8-9-10-11-13: tresbolillo 1,5 m → ('ok', 5132.01, None): 5.132,01 matas/ha (hacia arriba) sin advertencia</t>
  </si>
  <si>
    <t xml:space="preserve">CB-07</t>
  </si>
  <si>
    <t xml:space="preserve">1-2-3-6-7-9-10-11-12-13</t>
  </si>
  <si>
    <t xml:space="preserve">Cuadrado fuera del rango (café 2,5 m). Marco: cuadrado; d1 = 2,5 m; rango del cultivo: 1,0 a 2,0 m</t>
  </si>
  <si>
    <t xml:space="preserve">1.600,00 matas por hectárea y advertencia V-34</t>
  </si>
  <si>
    <t xml:space="preserve">Camino 1-2-3-6-7-9-10-11-12-13: cuadrado 2,5 m fuera del rango 1,0–2,0 → ('ok', 1600.0, 'V-34'): 1.600,00 matas/ha y advertencia V-34 (el cálculo no se bloquea)</t>
  </si>
  <si>
    <t xml:space="preserve">CB-08</t>
  </si>
  <si>
    <t xml:space="preserve">1-2-3-4-5-9-10-11-13</t>
  </si>
  <si>
    <t xml:space="preserve">Rectangular dentro del rango (café 1,0 × 1,5 m). Marco: rectangular; d1 = 1,0 m; d2 = 1,5 m; rango del cultivo: 1,0 a 2,0 m</t>
  </si>
  <si>
    <t xml:space="preserve">Camino 1-2-3-4-5-9-10-11-13: rectangular 1,0 × 1,5 dentro del rango → ('ok', 6666.67, None): 6.666,67 matas/ha sin advertencia</t>
  </si>
  <si>
    <t xml:space="preserve">CB-09</t>
  </si>
  <si>
    <t xml:space="preserve">iniciar_sesion(correo, clave)</t>
  </si>
  <si>
    <t xml:space="preserve">1-X16</t>
  </si>
  <si>
    <t xml:space="preserve">Correo vacío. Correo: vacío; clave: correcta; cuenta ACTIVA, 0 fallos previos</t>
  </si>
  <si>
    <t xml:space="preserve">Error V-16: «Escriba su correo y su clave.»</t>
  </si>
  <si>
    <t xml:space="preserve">Camino 1-X16: correo vacío → ('error', 'V-16') «Escriba su correo y su clave.»</t>
  </si>
  <si>
    <t xml:space="preserve">CB-10</t>
  </si>
  <si>
    <t xml:space="preserve">1-2-X16</t>
  </si>
  <si>
    <t xml:space="preserve">Clave vacía. Correo: maria@correo.com; clave: vacía; cuenta ACTIVA, 0 fallos previos</t>
  </si>
  <si>
    <t xml:space="preserve">Camino 1-2-X16: clave vacía → ('error', 'V-16') «Escriba su correo y su clave.»</t>
  </si>
  <si>
    <t xml:space="preserve">CB-11</t>
  </si>
  <si>
    <t xml:space="preserve">1-2-3-X17</t>
  </si>
  <si>
    <t xml:space="preserve">Correo sin cuenta. Correo: nadie@correo.com; clave: incorrecta; la cuenta no existe</t>
  </si>
  <si>
    <t xml:space="preserve">Error V-17: «Correo o clave incorrectos.»</t>
  </si>
  <si>
    <t xml:space="preserve">Camino 1-2-3-X17: correo sin cuenta → ('error', 'V-17') «Correo o clave incorrectos.»</t>
  </si>
  <si>
    <t xml:space="preserve">CB-12</t>
  </si>
  <si>
    <t xml:space="preserve">1-2-3-4-5-X18</t>
  </si>
  <si>
    <t xml:space="preserve">Cuenta bloqueada (faltan 5 minutos), con clave correcta. Correo: maria@correo.com; clave: correcta; cuenta ACTIVA, 0 fallos previos; bloqueo vigente, faltan 5 min</t>
  </si>
  <si>
    <t xml:space="preserve">Error V-18: «Cuenta bloqueada por 15 minutos. Intente de nuevo a las HH:MM.»</t>
  </si>
  <si>
    <t xml:space="preserve">Camino 1-2-3-4-5-X18: bloqueo vigente (faltan 5 min) con clave correcta → ('error', 'V-18'); no se cuenta el intento «Cuenta bloqueada por 15 minutos. Intente de nuevo a las HH:MM.»</t>
  </si>
  <si>
    <t xml:space="preserve">CB-13</t>
  </si>
  <si>
    <t xml:space="preserve">1-2-3-4-5-6-10-11-OK</t>
  </si>
  <si>
    <t xml:space="preserve">Bloqueo vencido (pasaron 15 minutos), clave correcta. Correo: maria@correo.com; clave: correcta; cuenta ACTIVA, 0 fallos previos; bloqueo registrado hace 15 min</t>
  </si>
  <si>
    <t xml:space="preserve">Acepta: token 30 días</t>
  </si>
  <si>
    <t xml:space="preserve">Camino 1-2-3-4-5-6-10-11-OK: bloqueo vencido (pasaron 15 min) con clave correcta → ('ok',); el bloqueo y los fallos quedan en cero</t>
  </si>
  <si>
    <t xml:space="preserve">CB-14</t>
  </si>
  <si>
    <t xml:space="preserve">1-2-3-4-6-7-8-X17</t>
  </si>
  <si>
    <t xml:space="preserve">Clave incorrecta con 1 fallo previo. Correo: maria@correo.com; clave: incorrecta; cuenta ACTIVA, 1 fallo previo</t>
  </si>
  <si>
    <t xml:space="preserve">Camino 1-2-3-4-6-7-8-X17: clave incorrecta con 1 fallo previo → ('error', 'V-17'); los fallos pasan de 1 a 2 «Correo o clave incorrectos.»</t>
  </si>
  <si>
    <t xml:space="preserve">CB-15</t>
  </si>
  <si>
    <t xml:space="preserve">1-2-3-4-6-7-8-9-X18</t>
  </si>
  <si>
    <t xml:space="preserve">Clave incorrecta con 4 fallos previos (5.º fallo). Correo: maria@correo.com; clave: incorrecta; cuenta ACTIVA, 4 fallos previos</t>
  </si>
  <si>
    <t xml:space="preserve">Camino 1-2-3-4-6-7-8-9-X18: 5.º fallo → ('error', 'V-18'); bloqueo hasta el minuto 115 (15 min) y fallos reiniciados «Cuenta bloqueada por 15 minutos. Intente de nuevo a las HH:MM.»</t>
  </si>
  <si>
    <t xml:space="preserve">CB-16</t>
  </si>
  <si>
    <t xml:space="preserve">1-2-3-4-6-10-X19</t>
  </si>
  <si>
    <t xml:space="preserve">Clave correcta con cuenta pendiente. Correo: maria@correo.com; clave: correcta; cuenta PENDIENTE, 0 fallos previos</t>
  </si>
  <si>
    <t xml:space="preserve">Error V-19: «Su cuenta aún no está activada. Ingrese el código que llegó a su correo.»</t>
  </si>
  <si>
    <t xml:space="preserve">Camino 1-2-3-4-6-10-X19: clave correcta con cuenta PENDIENTE → ('error', 'V-19') «Su cuenta aún no está activada. Ingrese el código que llegó a su correo.»</t>
  </si>
  <si>
    <t xml:space="preserve">CB-17</t>
  </si>
  <si>
    <t xml:space="preserve">1-2-3-4-6-10-11-OK</t>
  </si>
  <si>
    <t xml:space="preserve">Clave correcta con cuenta activa sin bloqueo. Correo: maria@correo.com; clave: correcta; cuenta ACTIVA, 0 fallos previos</t>
  </si>
  <si>
    <t xml:space="preserve">Camino 1-2-3-4-6-10-11-OK: clave correcta con cuenta ACTIVA sin bloqueo → ('ok',) (el servicio emite el token de 30 días)</t>
  </si>
  <si>
    <t xml:space="preserve">CB-18</t>
  </si>
  <si>
    <t xml:space="preserve">verificar_codigo(codigo)</t>
  </si>
  <si>
    <t xml:space="preserve">1-X15</t>
  </si>
  <si>
    <t xml:space="preserve">Cuenta pendiente de 25 horas. Código escrito: 482915; código enviado: 482915; intentos previos: 0; envío hace 1 min; cuenta creada hace 25 h</t>
  </si>
  <si>
    <t xml:space="preserve">Error V-15: «La cuenta venció. Regístrese de nuevo.»</t>
  </si>
  <si>
    <t xml:space="preserve">Camino 1-X15: cuenta pendiente de 25 h → ('error', 'V-15') «La cuenta venció. Regístrese de nuevo.»</t>
  </si>
  <si>
    <t xml:space="preserve">CB-19</t>
  </si>
  <si>
    <t xml:space="preserve">1-2-X09</t>
  </si>
  <si>
    <t xml:space="preserve">Código con letras (48A). Código escrito: 48A; código enviado: 482915; intentos previos: 0; envío hace 1 min; cuenta creada hace 1 h</t>
  </si>
  <si>
    <t xml:space="preserve">Error V-09: «Escriba los 6 dígitos del código.»</t>
  </si>
  <si>
    <t xml:space="preserve">Camino 1-2-X09: código «48A» → ('error', 'V-09') «Escriba los 6 dígitos del código.»</t>
  </si>
  <si>
    <t xml:space="preserve">CB-20</t>
  </si>
  <si>
    <t xml:space="preserve">1-2-3-X12</t>
  </si>
  <si>
    <t xml:space="preserve">Código ya invalidado (5 intentos previos). Código escrito: 482915; código enviado: 482915; intentos previos: 5; envío hace 1 min; cuenta creada hace 1 h</t>
  </si>
  <si>
    <t xml:space="preserve">Error V-12: «Demasiados intentos. Pida un código nuevo.»</t>
  </si>
  <si>
    <t xml:space="preserve">Camino 1-2-3-X12: código ya invalidado (5 intentos previos), aunque sea el correcto → ('error', 'V-12') «Demasiados intentos. Pida un código nuevo.»</t>
  </si>
  <si>
    <t xml:space="preserve">CB-21</t>
  </si>
  <si>
    <t xml:space="preserve">1-2-3-4-X11</t>
  </si>
  <si>
    <t xml:space="preserve">Código enviado hace 15 min 01 s. Código escrito: 482915; código enviado: 482915; intentos previos: 0; envío hace 15,02 min; cuenta creada hace 1 h</t>
  </si>
  <si>
    <t xml:space="preserve">Error V-11: «El código venció. Pida uno nuevo.»</t>
  </si>
  <si>
    <t xml:space="preserve">Camino 1-2-3-4-X11: código enviado hace 15 min 01 s → ('error', 'V-11') «El código venció. Pida uno nuevo.»</t>
  </si>
  <si>
    <t xml:space="preserve">CB-22</t>
  </si>
  <si>
    <t xml:space="preserve">1-2-3-4-5-6-7-X10</t>
  </si>
  <si>
    <t xml:space="preserve">Código incorrecto con 1 intento previo. Código escrito: 111111; código enviado: 482915; intentos previos: 1; envío hace 1 min; cuenta creada hace 1 h</t>
  </si>
  <si>
    <t xml:space="preserve">Error V-10: «Código incorrecto. Le quedan 3 intentos.»</t>
  </si>
  <si>
    <t xml:space="preserve">Camino 1-2-3-4-5-6-7-X10: código incorrecto con 1 intento previo → ('error', 'V-10', 3): quedan 3 intentos «Código incorrecto. Le quedan N intentos.»</t>
  </si>
  <si>
    <t xml:space="preserve">CB-23</t>
  </si>
  <si>
    <t xml:space="preserve">1-2-3-4-5-6-7-8-X12</t>
  </si>
  <si>
    <t xml:space="preserve">Código incorrecto con 4 intentos previos (5.º fallo). Código escrito: 111111; código enviado: 482915; intentos previos: 4; envío hace 1 min; cuenta creada hace 1 h</t>
  </si>
  <si>
    <t xml:space="preserve">Camino 1-2-3-4-5-6-7-8-X12: 5.º fallo → ('error', 'V-12'); el código queda invalidado «Demasiados intentos. Pida un código nuevo.»</t>
  </si>
  <si>
    <t xml:space="preserve">CB-24</t>
  </si>
  <si>
    <t xml:space="preserve">1-2-3-4-5-9-OK</t>
  </si>
  <si>
    <t xml:space="preserve">Código correcto a los 14 min 59 s con la cuenta de 23 horas. Código escrito: 482915; código enviado: 482915; intentos previos: 0; envío hace 14,98 min; cuenta creada hace 23 h</t>
  </si>
  <si>
    <t xml:space="preserve">Acepta: cuenta ACTIVA</t>
  </si>
  <si>
    <t xml:space="preserve">Camino 1-2-3-4-5-9-OK: código correcto a los 14 min 59 s con la cuenta de 23 h → ('ok',): la cuenta pasa a ACTIVA</t>
  </si>
  <si>
    <t xml:space="preserve">CB-25</t>
  </si>
  <si>
    <t xml:space="preserve">calcular_utilidad(gastos, ingresos, area)</t>
  </si>
  <si>
    <t xml:space="preserve">1-3-5-6-7-9-10</t>
  </si>
  <si>
    <t xml:space="preserve">Ciclo sin movimientos (0 gastos, 0 ingresos: bucles sin vueltas). Gastos: ninguno; ingresos: ninguno; área efectiva: 0,9 ha</t>
  </si>
  <si>
    <t xml:space="preserve">Gastos $ 0; ingresos $ 0; utilidad $ 0; rentabilidad 0,0 %; utilidad por hectárea $ 0</t>
  </si>
  <si>
    <t xml:space="preserve">Camino 1-3-5-6-7-9-10 (bucles sin vueltas): sin movimientos → ('ok', 0, 0, 0, 0.0, 0): todo en $ 0 y rentabilidad 0,0 %</t>
  </si>
  <si>
    <t xml:space="preserve">CB-26</t>
  </si>
  <si>
    <t xml:space="preserve">1-3-4-3-5-6-7-9-10</t>
  </si>
  <si>
    <t xml:space="preserve">Solo ingresos (1 ingreso, 0 gastos): rentabilidad 0,0 %. Gastos: ninguno; ingresos: $ 500.000; área efectiva: 0,9 ha</t>
  </si>
  <si>
    <t xml:space="preserve">Gastos $ 0; ingresos $ 500.000; utilidad $ 500.000; rentabilidad 0,0 %; utilidad por hectárea $ 555.556</t>
  </si>
  <si>
    <t xml:space="preserve">Camino 1-3-4-3-5-6-7-9-10: solo ingresos → ('ok', 0, 500000, 500000, 0.0, 555556): utilidad $ 500.000, rentabilidad 0,0 %, por hectárea $ 555.556</t>
  </si>
  <si>
    <t xml:space="preserve">CB-27</t>
  </si>
  <si>
    <t xml:space="preserve">1-2-1-2-1-2-1-3-4-3-5-6-8-9-10</t>
  </si>
  <si>
    <t xml:space="preserve">Ciclo C-01 (3 gastos y 1 ingreso, una y varias vueltas). Gastos: $ 100.000, $ 30.000, $ 20.000; ingresos: $ 500.000; área efectiva: 0,9 ha</t>
  </si>
  <si>
    <t xml:space="preserve">Gastos $ 150.000; ingresos $ 500.000; utilidad $ 350.000; rentabilidad 233,3 %; utilidad por hectárea $ 388.889</t>
  </si>
  <si>
    <t xml:space="preserve">Camino 1-2-1-2-1-2-1-3-4-3-5-6-8-9-10: ciclo C-01 (3 gastos y 1 ingreso) → ('ok', 150000, 500000, 350000, 233.3, 388889): utilidad $ 350.000, rentabilidad 233,3 %, por hectárea $ 388.889</t>
  </si>
  <si>
    <t xml:space="preserve">CB-28</t>
  </si>
  <si>
    <t xml:space="preserve">1-2-1-2-1-3-4-3-5-6-8-9-10</t>
  </si>
  <si>
    <t xml:space="preserve">Pérdida (2 gastos y 1 ingreso). Gastos: $ 120.000, $ 80.000; ingresos: $ 50.000; área efectiva: 0,9 ha</t>
  </si>
  <si>
    <t xml:space="preserve">Gastos $ 200.000; ingresos $ 50.000; utilidad -$ 150.000; rentabilidad -75,0 %; utilidad por hectárea -$ 166.667</t>
  </si>
  <si>
    <t xml:space="preserve">Camino 1-2-1-2-1-3-4-3-5-6-8-9-10: pérdida → ('ok', 200000, 50000, -150000, -75.0, -166667): utilidad −$ 150.000, rentabilidad −75,0 %, por hectárea −$ 166.667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</si>
</sst>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9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12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</row>
    <row r="5" customFormat="false" ht="15" hidden="false" customHeight="true" outlineLevel="0" collapsed="false">
      <c r="A5" s="5" t="s">
        <v>4</v>
      </c>
      <c r="B5" s="5" t="n">
        <f aca="false">COUNTA(RF!A2:A20)</f>
        <v>19</v>
      </c>
    </row>
    <row r="6" customFormat="false" ht="15" hidden="false" customHeight="true" outlineLevel="0" collapsed="false">
      <c r="A6" s="5" t="s">
        <v>5</v>
      </c>
      <c r="B6" s="5" t="n">
        <f aca="false">COUNTA(RF!G2:G20)</f>
        <v>19</v>
      </c>
    </row>
    <row r="7" customFormat="false" ht="15" hidden="false" customHeight="true" outlineLevel="0" collapsed="false">
      <c r="A7" s="5" t="s">
        <v>6</v>
      </c>
      <c r="B7" s="5" t="n">
        <f aca="false">COUNTA(RNF!A2:A13)</f>
        <v>12</v>
      </c>
    </row>
    <row r="8" customFormat="false" ht="15" hidden="false" customHeight="true" outlineLevel="0" collapsed="false">
      <c r="A8" s="5" t="s">
        <v>7</v>
      </c>
      <c r="B8" s="5" t="n">
        <f aca="false">COUNTA(RNF!E2:E13)</f>
        <v>12</v>
      </c>
    </row>
    <row r="9" customFormat="false" ht="15" hidden="false" customHeight="true" outlineLevel="0" collapsed="false">
      <c r="A9" s="5" t="s">
        <v>8</v>
      </c>
      <c r="B9" s="5" t="n">
        <f aca="false">COUNTA(Encuesta!A2:A21)</f>
        <v>19</v>
      </c>
    </row>
    <row r="10" customFormat="false" ht="15" hidden="false" customHeight="true" outlineLevel="0" collapsed="false">
      <c r="A10" s="5" t="s">
        <v>9</v>
      </c>
      <c r="B10" s="5" t="n">
        <f aca="false">COUNTA(Plan_Pruebas!A2:A236)</f>
        <v>235</v>
      </c>
    </row>
    <row r="11" customFormat="false" ht="15" hidden="false" customHeight="true" outlineLevel="0" collapsed="false"/>
    <row r="12" customFormat="false" ht="15" hidden="false" customHeight="true" outlineLevel="0" collapsed="false">
      <c r="A12" s="5" t="s">
        <v>10</v>
      </c>
      <c r="B12" s="5" t="n">
        <f aca="false">COUNTIF(Plan_Pruebas!F2:F236,"Aprobado")</f>
        <v>225</v>
      </c>
    </row>
    <row r="13" customFormat="false" ht="15" hidden="false" customHeight="true" outlineLevel="0" collapsed="false">
      <c r="A13" s="5" t="s">
        <v>11</v>
      </c>
      <c r="B13" s="5" t="n">
        <f aca="false">COUNTIF(Plan_Pruebas!F2:F236,"Falló")</f>
        <v>0</v>
      </c>
    </row>
    <row r="14" customFormat="false" ht="15" hidden="false" customHeight="true" outlineLevel="0" collapsed="false">
      <c r="A14" s="5" t="s">
        <v>12</v>
      </c>
      <c r="B14" s="5" t="n">
        <f aca="false">COUNTIF(Plan_Pruebas!F2:F236,"Pendiente")</f>
        <v>10</v>
      </c>
    </row>
    <row r="15" customFormat="false" ht="15" hidden="false" customHeight="true" outlineLevel="0" collapsed="false">
      <c r="A15" s="5" t="s">
        <v>13</v>
      </c>
      <c r="B15" s="5" t="n">
        <f aca="false">COUNTIF(Caja_Blanca!G2:G29,"Aprobado")</f>
        <v>28</v>
      </c>
    </row>
    <row r="16" customFormat="false" ht="15" hidden="false" customHeight="true" outlineLevel="0" collapsed="false">
      <c r="A16" s="5" t="s">
        <v>14</v>
      </c>
      <c r="B16" s="5" t="n">
        <f aca="false">COUNTIF(Caja_Blanca!G2:G29,"Falló")</f>
        <v>0</v>
      </c>
    </row>
    <row r="17" customFormat="false" ht="15" hidden="false" customHeight="true" outlineLevel="0" collapsed="false">
      <c r="A17" s="5" t="s">
        <v>15</v>
      </c>
      <c r="B17" s="5" t="n">
        <f aca="false">COUNTIF(Caja_Blanca!G2:G29,"Pendiente")</f>
        <v>0</v>
      </c>
    </row>
    <row r="18" customFormat="false" ht="15" hidden="false" customHeight="true" outlineLevel="0" collapsed="false">
      <c r="A18" s="5" t="s">
        <v>16</v>
      </c>
      <c r="B18" s="5" t="s">
        <v>17</v>
      </c>
    </row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46"/>
    <col collapsed="false" customWidth="true" hidden="false" outlineLevel="0" max="3" min="3" style="1" width="9"/>
    <col collapsed="false" customWidth="true" hidden="false" outlineLevel="0" max="4" min="4" style="1" width="12"/>
    <col collapsed="false" customWidth="true" hidden="false" outlineLevel="0" max="5" min="5" style="1" width="26"/>
    <col collapsed="false" customWidth="true" hidden="false" outlineLevel="0" max="6" min="6" style="1" width="28"/>
    <col collapsed="false" customWidth="true" hidden="false" outlineLevel="0" max="7" min="7" style="1" width="64"/>
    <col collapsed="false" customWidth="true" hidden="false" outlineLevel="0" max="8" min="8" style="1" width="26"/>
  </cols>
  <sheetData>
    <row r="1" customFormat="false" ht="23.25" hidden="false" customHeight="true" outlineLevel="0" collapsed="false">
      <c r="A1" s="6" t="s">
        <v>18</v>
      </c>
      <c r="B1" s="6" t="s">
        <v>19</v>
      </c>
      <c r="C1" s="6" t="s">
        <v>20</v>
      </c>
      <c r="D1" s="6" t="s">
        <v>21</v>
      </c>
      <c r="E1" s="6" t="s">
        <v>22</v>
      </c>
      <c r="F1" s="6" t="s">
        <v>23</v>
      </c>
      <c r="G1" s="6" t="s">
        <v>24</v>
      </c>
      <c r="H1" s="6" t="s">
        <v>25</v>
      </c>
    </row>
    <row r="2" customFormat="false" ht="21.75" hidden="false" customHeight="true" outlineLevel="0" collapsed="false">
      <c r="A2" s="7" t="s">
        <v>26</v>
      </c>
      <c r="B2" s="7" t="s">
        <v>27</v>
      </c>
      <c r="C2" s="7" t="s">
        <v>28</v>
      </c>
      <c r="D2" s="7" t="s">
        <v>29</v>
      </c>
      <c r="E2" s="7" t="s">
        <v>30</v>
      </c>
      <c r="F2" s="7" t="s">
        <v>31</v>
      </c>
      <c r="G2" s="7" t="s">
        <v>32</v>
      </c>
      <c r="H2" s="7" t="s">
        <v>33</v>
      </c>
    </row>
    <row r="3" customFormat="false" ht="32.25" hidden="false" customHeight="true" outlineLevel="0" collapsed="false">
      <c r="A3" s="7" t="s">
        <v>34</v>
      </c>
      <c r="B3" s="7" t="s">
        <v>35</v>
      </c>
      <c r="C3" s="7" t="s">
        <v>28</v>
      </c>
      <c r="D3" s="7" t="s">
        <v>36</v>
      </c>
      <c r="E3" s="7" t="s">
        <v>37</v>
      </c>
      <c r="F3" s="7" t="s">
        <v>38</v>
      </c>
      <c r="G3" s="7" t="s">
        <v>39</v>
      </c>
      <c r="H3" s="7" t="s">
        <v>40</v>
      </c>
    </row>
    <row r="4" customFormat="false" ht="21.75" hidden="false" customHeight="true" outlineLevel="0" collapsed="false">
      <c r="A4" s="7" t="s">
        <v>41</v>
      </c>
      <c r="B4" s="7" t="s">
        <v>42</v>
      </c>
      <c r="C4" s="7" t="s">
        <v>28</v>
      </c>
      <c r="D4" s="7" t="s">
        <v>43</v>
      </c>
      <c r="E4" s="7" t="s">
        <v>44</v>
      </c>
      <c r="F4" s="7" t="s">
        <v>45</v>
      </c>
      <c r="G4" s="7" t="s">
        <v>46</v>
      </c>
      <c r="H4" s="7" t="s">
        <v>47</v>
      </c>
    </row>
    <row r="5" customFormat="false" ht="21.75" hidden="false" customHeight="true" outlineLevel="0" collapsed="false">
      <c r="A5" s="7" t="s">
        <v>48</v>
      </c>
      <c r="B5" s="7" t="s">
        <v>49</v>
      </c>
      <c r="C5" s="7" t="s">
        <v>50</v>
      </c>
      <c r="D5" s="7" t="s">
        <v>43</v>
      </c>
      <c r="E5" s="7" t="s">
        <v>51</v>
      </c>
      <c r="F5" s="7" t="s">
        <v>52</v>
      </c>
      <c r="G5" s="7" t="s">
        <v>53</v>
      </c>
      <c r="H5" s="7" t="s">
        <v>54</v>
      </c>
    </row>
    <row r="6" customFormat="false" ht="21.75" hidden="false" customHeight="true" outlineLevel="0" collapsed="false">
      <c r="A6" s="7" t="s">
        <v>55</v>
      </c>
      <c r="B6" s="7" t="s">
        <v>56</v>
      </c>
      <c r="C6" s="7" t="s">
        <v>28</v>
      </c>
      <c r="D6" s="7" t="s">
        <v>57</v>
      </c>
      <c r="E6" s="7" t="s">
        <v>58</v>
      </c>
      <c r="F6" s="7" t="s">
        <v>59</v>
      </c>
      <c r="G6" s="7" t="s">
        <v>60</v>
      </c>
      <c r="H6" s="7" t="s">
        <v>61</v>
      </c>
    </row>
    <row r="7" customFormat="false" ht="21.75" hidden="false" customHeight="true" outlineLevel="0" collapsed="false">
      <c r="A7" s="7" t="s">
        <v>62</v>
      </c>
      <c r="B7" s="7" t="s">
        <v>63</v>
      </c>
      <c r="C7" s="7" t="s">
        <v>28</v>
      </c>
      <c r="D7" s="7" t="s">
        <v>64</v>
      </c>
      <c r="E7" s="7" t="s">
        <v>65</v>
      </c>
      <c r="F7" s="7" t="s">
        <v>66</v>
      </c>
      <c r="G7" s="7" t="s">
        <v>67</v>
      </c>
      <c r="H7" s="7" t="s">
        <v>68</v>
      </c>
    </row>
    <row r="8" customFormat="false" ht="21.75" hidden="false" customHeight="true" outlineLevel="0" collapsed="false">
      <c r="A8" s="7" t="s">
        <v>69</v>
      </c>
      <c r="B8" s="7" t="s">
        <v>70</v>
      </c>
      <c r="C8" s="7" t="s">
        <v>50</v>
      </c>
      <c r="D8" s="7" t="s">
        <v>64</v>
      </c>
      <c r="E8" s="7" t="s">
        <v>71</v>
      </c>
      <c r="F8" s="7" t="s">
        <v>72</v>
      </c>
      <c r="G8" s="7" t="s">
        <v>73</v>
      </c>
      <c r="H8" s="7" t="s">
        <v>74</v>
      </c>
    </row>
    <row r="9" customFormat="false" ht="32.25" hidden="false" customHeight="true" outlineLevel="0" collapsed="false">
      <c r="A9" s="7" t="s">
        <v>75</v>
      </c>
      <c r="B9" s="7" t="s">
        <v>76</v>
      </c>
      <c r="C9" s="7" t="s">
        <v>28</v>
      </c>
      <c r="D9" s="7" t="s">
        <v>64</v>
      </c>
      <c r="E9" s="7" t="s">
        <v>77</v>
      </c>
      <c r="F9" s="7" t="s">
        <v>78</v>
      </c>
      <c r="G9" s="7" t="s">
        <v>79</v>
      </c>
      <c r="H9" s="7" t="s">
        <v>80</v>
      </c>
    </row>
    <row r="10" customFormat="false" ht="21.75" hidden="false" customHeight="true" outlineLevel="0" collapsed="false">
      <c r="A10" s="7" t="s">
        <v>81</v>
      </c>
      <c r="B10" s="7" t="s">
        <v>82</v>
      </c>
      <c r="C10" s="7" t="s">
        <v>28</v>
      </c>
      <c r="D10" s="7" t="s">
        <v>64</v>
      </c>
      <c r="E10" s="7" t="s">
        <v>83</v>
      </c>
      <c r="F10" s="7" t="s">
        <v>84</v>
      </c>
      <c r="G10" s="7" t="s">
        <v>85</v>
      </c>
      <c r="H10" s="7" t="s">
        <v>74</v>
      </c>
    </row>
    <row r="11" customFormat="false" ht="32.25" hidden="false" customHeight="true" outlineLevel="0" collapsed="false">
      <c r="A11" s="7" t="s">
        <v>86</v>
      </c>
      <c r="B11" s="7" t="s">
        <v>87</v>
      </c>
      <c r="C11" s="7" t="s">
        <v>28</v>
      </c>
      <c r="D11" s="7" t="s">
        <v>88</v>
      </c>
      <c r="E11" s="7" t="s">
        <v>89</v>
      </c>
      <c r="F11" s="7" t="s">
        <v>90</v>
      </c>
      <c r="G11" s="7" t="s">
        <v>91</v>
      </c>
      <c r="H11" s="7" t="s">
        <v>92</v>
      </c>
    </row>
    <row r="12" customFormat="false" ht="32.25" hidden="false" customHeight="true" outlineLevel="0" collapsed="false">
      <c r="A12" s="7" t="s">
        <v>93</v>
      </c>
      <c r="B12" s="7" t="s">
        <v>94</v>
      </c>
      <c r="C12" s="7" t="s">
        <v>28</v>
      </c>
      <c r="D12" s="7" t="s">
        <v>88</v>
      </c>
      <c r="E12" s="7" t="s">
        <v>95</v>
      </c>
      <c r="F12" s="7" t="s">
        <v>96</v>
      </c>
      <c r="G12" s="7" t="s">
        <v>97</v>
      </c>
      <c r="H12" s="7" t="s">
        <v>98</v>
      </c>
    </row>
    <row r="13" customFormat="false" ht="15" hidden="false" customHeight="true" outlineLevel="0" collapsed="false">
      <c r="A13" s="7" t="s">
        <v>99</v>
      </c>
      <c r="B13" s="7" t="s">
        <v>100</v>
      </c>
      <c r="C13" s="7" t="s">
        <v>28</v>
      </c>
      <c r="D13" s="7" t="s">
        <v>101</v>
      </c>
      <c r="E13" s="7" t="s">
        <v>102</v>
      </c>
      <c r="F13" s="7" t="s">
        <v>103</v>
      </c>
      <c r="G13" s="7" t="s">
        <v>104</v>
      </c>
      <c r="H13" s="7" t="s">
        <v>105</v>
      </c>
    </row>
    <row r="14" customFormat="false" ht="15" hidden="false" customHeight="true" outlineLevel="0" collapsed="false">
      <c r="A14" s="7" t="s">
        <v>106</v>
      </c>
      <c r="B14" s="7" t="s">
        <v>107</v>
      </c>
      <c r="C14" s="7" t="s">
        <v>28</v>
      </c>
      <c r="D14" s="7" t="s">
        <v>101</v>
      </c>
      <c r="E14" s="7" t="s">
        <v>102</v>
      </c>
      <c r="F14" s="7" t="s">
        <v>72</v>
      </c>
      <c r="G14" s="7" t="s">
        <v>108</v>
      </c>
      <c r="H14" s="7" t="s">
        <v>109</v>
      </c>
    </row>
    <row r="15" customFormat="false" ht="21.75" hidden="false" customHeight="true" outlineLevel="0" collapsed="false">
      <c r="A15" s="7" t="s">
        <v>110</v>
      </c>
      <c r="B15" s="7" t="s">
        <v>111</v>
      </c>
      <c r="C15" s="7" t="s">
        <v>28</v>
      </c>
      <c r="D15" s="7" t="s">
        <v>101</v>
      </c>
      <c r="E15" s="7" t="s">
        <v>102</v>
      </c>
      <c r="F15" s="7" t="s">
        <v>72</v>
      </c>
      <c r="G15" s="7" t="s">
        <v>112</v>
      </c>
      <c r="H15" s="7" t="s">
        <v>113</v>
      </c>
    </row>
    <row r="16" customFormat="false" ht="15" hidden="false" customHeight="true" outlineLevel="0" collapsed="false">
      <c r="A16" s="7" t="s">
        <v>114</v>
      </c>
      <c r="B16" s="7" t="s">
        <v>115</v>
      </c>
      <c r="C16" s="7" t="s">
        <v>28</v>
      </c>
      <c r="D16" s="7" t="s">
        <v>101</v>
      </c>
      <c r="E16" s="7" t="s">
        <v>116</v>
      </c>
      <c r="F16" s="7" t="s">
        <v>84</v>
      </c>
      <c r="G16" s="7" t="s">
        <v>117</v>
      </c>
      <c r="H16" s="7" t="s">
        <v>118</v>
      </c>
    </row>
    <row r="17" customFormat="false" ht="21.75" hidden="false" customHeight="true" outlineLevel="0" collapsed="false">
      <c r="A17" s="7" t="s">
        <v>119</v>
      </c>
      <c r="B17" s="7" t="s">
        <v>120</v>
      </c>
      <c r="C17" s="7" t="s">
        <v>28</v>
      </c>
      <c r="D17" s="7" t="s">
        <v>57</v>
      </c>
      <c r="E17" s="7" t="s">
        <v>116</v>
      </c>
      <c r="F17" s="7" t="s">
        <v>96</v>
      </c>
      <c r="G17" s="7" t="s">
        <v>121</v>
      </c>
      <c r="H17" s="7" t="s">
        <v>122</v>
      </c>
    </row>
    <row r="18" customFormat="false" ht="15" hidden="false" customHeight="true" outlineLevel="0" collapsed="false">
      <c r="A18" s="7" t="s">
        <v>123</v>
      </c>
      <c r="B18" s="7" t="s">
        <v>124</v>
      </c>
      <c r="C18" s="7" t="s">
        <v>28</v>
      </c>
      <c r="D18" s="7" t="s">
        <v>101</v>
      </c>
      <c r="E18" s="7" t="s">
        <v>125</v>
      </c>
      <c r="F18" s="7" t="s">
        <v>90</v>
      </c>
      <c r="G18" s="7" t="s">
        <v>126</v>
      </c>
      <c r="H18" s="7" t="s">
        <v>127</v>
      </c>
    </row>
    <row r="19" customFormat="false" ht="21.75" hidden="false" customHeight="true" outlineLevel="0" collapsed="false">
      <c r="A19" s="7" t="s">
        <v>128</v>
      </c>
      <c r="B19" s="7" t="s">
        <v>129</v>
      </c>
      <c r="C19" s="7" t="s">
        <v>28</v>
      </c>
      <c r="D19" s="7" t="s">
        <v>101</v>
      </c>
      <c r="E19" s="7" t="s">
        <v>130</v>
      </c>
      <c r="F19" s="7" t="s">
        <v>131</v>
      </c>
      <c r="G19" s="7" t="s">
        <v>132</v>
      </c>
      <c r="H19" s="7" t="s">
        <v>133</v>
      </c>
    </row>
    <row r="20" customFormat="false" ht="21.75" hidden="false" customHeight="true" outlineLevel="0" collapsed="false">
      <c r="A20" s="7" t="s">
        <v>134</v>
      </c>
      <c r="B20" s="7" t="s">
        <v>135</v>
      </c>
      <c r="C20" s="7" t="s">
        <v>28</v>
      </c>
      <c r="D20" s="7" t="s">
        <v>29</v>
      </c>
      <c r="E20" s="7" t="s">
        <v>136</v>
      </c>
      <c r="F20" s="7" t="s">
        <v>137</v>
      </c>
      <c r="G20" s="7" t="s">
        <v>138</v>
      </c>
      <c r="H20" s="7" t="s">
        <v>92</v>
      </c>
    </row>
  </sheetData>
  <autoFilter ref="A1:H2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46"/>
    <col collapsed="false" customWidth="true" hidden="false" outlineLevel="0" max="3" min="3" style="1" width="26"/>
    <col collapsed="false" customWidth="true" hidden="false" outlineLevel="0" max="5" min="4" style="1" width="52"/>
    <col collapsed="false" customWidth="true" hidden="false" outlineLevel="0" max="6" min="6" style="1" width="9"/>
  </cols>
  <sheetData>
    <row r="1" customFormat="false" ht="23.25" hidden="false" customHeight="true" outlineLevel="0" collapsed="false">
      <c r="A1" s="6" t="s">
        <v>18</v>
      </c>
      <c r="B1" s="6" t="s">
        <v>19</v>
      </c>
      <c r="C1" s="6" t="s">
        <v>139</v>
      </c>
      <c r="D1" s="6" t="s">
        <v>140</v>
      </c>
      <c r="E1" s="6" t="s">
        <v>141</v>
      </c>
      <c r="F1" s="6" t="s">
        <v>20</v>
      </c>
    </row>
    <row r="2" customFormat="false" ht="21.75" hidden="false" customHeight="true" outlineLevel="0" collapsed="false">
      <c r="A2" s="7" t="s">
        <v>142</v>
      </c>
      <c r="B2" s="7" t="s">
        <v>143</v>
      </c>
      <c r="C2" s="7" t="s">
        <v>144</v>
      </c>
      <c r="D2" s="7" t="s">
        <v>145</v>
      </c>
      <c r="E2" s="7" t="s">
        <v>146</v>
      </c>
      <c r="F2" s="7" t="s">
        <v>28</v>
      </c>
    </row>
    <row r="3" customFormat="false" ht="21.75" hidden="false" customHeight="true" outlineLevel="0" collapsed="false">
      <c r="A3" s="7" t="s">
        <v>137</v>
      </c>
      <c r="B3" s="7" t="s">
        <v>147</v>
      </c>
      <c r="C3" s="7" t="s">
        <v>148</v>
      </c>
      <c r="D3" s="7" t="s">
        <v>149</v>
      </c>
      <c r="E3" s="7" t="s">
        <v>150</v>
      </c>
      <c r="F3" s="7" t="s">
        <v>28</v>
      </c>
    </row>
    <row r="4" customFormat="false" ht="15" hidden="false" customHeight="true" outlineLevel="0" collapsed="false">
      <c r="A4" s="7" t="s">
        <v>59</v>
      </c>
      <c r="B4" s="7" t="s">
        <v>151</v>
      </c>
      <c r="C4" s="7" t="s">
        <v>152</v>
      </c>
      <c r="D4" s="7" t="s">
        <v>153</v>
      </c>
      <c r="E4" s="7" t="s">
        <v>154</v>
      </c>
      <c r="F4" s="7" t="s">
        <v>28</v>
      </c>
    </row>
    <row r="5" customFormat="false" ht="21.75" hidden="false" customHeight="true" outlineLevel="0" collapsed="false">
      <c r="A5" s="7" t="s">
        <v>155</v>
      </c>
      <c r="B5" s="7" t="s">
        <v>156</v>
      </c>
      <c r="C5" s="7" t="s">
        <v>157</v>
      </c>
      <c r="D5" s="7" t="s">
        <v>158</v>
      </c>
      <c r="E5" s="7" t="s">
        <v>159</v>
      </c>
      <c r="F5" s="7" t="s">
        <v>28</v>
      </c>
    </row>
    <row r="6" customFormat="false" ht="21.75" hidden="false" customHeight="true" outlineLevel="0" collapsed="false">
      <c r="A6" s="7" t="s">
        <v>90</v>
      </c>
      <c r="B6" s="7" t="s">
        <v>160</v>
      </c>
      <c r="C6" s="7" t="s">
        <v>161</v>
      </c>
      <c r="D6" s="7" t="s">
        <v>162</v>
      </c>
      <c r="E6" s="7" t="s">
        <v>163</v>
      </c>
      <c r="F6" s="7" t="s">
        <v>28</v>
      </c>
    </row>
    <row r="7" customFormat="false" ht="21.75" hidden="false" customHeight="true" outlineLevel="0" collapsed="false">
      <c r="A7" s="7" t="s">
        <v>131</v>
      </c>
      <c r="B7" s="7" t="s">
        <v>164</v>
      </c>
      <c r="C7" s="7" t="s">
        <v>165</v>
      </c>
      <c r="D7" s="7" t="s">
        <v>166</v>
      </c>
      <c r="E7" s="7" t="s">
        <v>167</v>
      </c>
      <c r="F7" s="7" t="s">
        <v>28</v>
      </c>
    </row>
    <row r="8" customFormat="false" ht="21.75" hidden="false" customHeight="true" outlineLevel="0" collapsed="false">
      <c r="A8" s="7" t="s">
        <v>168</v>
      </c>
      <c r="B8" s="7" t="s">
        <v>169</v>
      </c>
      <c r="C8" s="7" t="s">
        <v>170</v>
      </c>
      <c r="D8" s="7" t="s">
        <v>171</v>
      </c>
      <c r="E8" s="7" t="s">
        <v>172</v>
      </c>
      <c r="F8" s="7" t="s">
        <v>28</v>
      </c>
    </row>
    <row r="9" customFormat="false" ht="21.75" hidden="false" customHeight="true" outlineLevel="0" collapsed="false">
      <c r="A9" s="7" t="s">
        <v>173</v>
      </c>
      <c r="B9" s="7" t="s">
        <v>174</v>
      </c>
      <c r="C9" s="7" t="s">
        <v>175</v>
      </c>
      <c r="D9" s="7" t="s">
        <v>176</v>
      </c>
      <c r="E9" s="7" t="s">
        <v>177</v>
      </c>
      <c r="F9" s="7" t="s">
        <v>28</v>
      </c>
    </row>
    <row r="10" customFormat="false" ht="21.75" hidden="false" customHeight="true" outlineLevel="0" collapsed="false">
      <c r="A10" s="7" t="s">
        <v>45</v>
      </c>
      <c r="B10" s="7" t="s">
        <v>178</v>
      </c>
      <c r="C10" s="7" t="s">
        <v>157</v>
      </c>
      <c r="D10" s="7" t="s">
        <v>179</v>
      </c>
      <c r="E10" s="7" t="s">
        <v>180</v>
      </c>
      <c r="F10" s="7" t="s">
        <v>28</v>
      </c>
    </row>
    <row r="11" customFormat="false" ht="21.75" hidden="false" customHeight="true" outlineLevel="0" collapsed="false">
      <c r="A11" s="7" t="s">
        <v>181</v>
      </c>
      <c r="B11" s="7" t="s">
        <v>182</v>
      </c>
      <c r="C11" s="7" t="s">
        <v>183</v>
      </c>
      <c r="D11" s="7" t="s">
        <v>184</v>
      </c>
      <c r="E11" s="7" t="s">
        <v>185</v>
      </c>
      <c r="F11" s="7" t="s">
        <v>28</v>
      </c>
    </row>
    <row r="12" customFormat="false" ht="15" hidden="false" customHeight="true" outlineLevel="0" collapsed="false">
      <c r="A12" s="7" t="s">
        <v>72</v>
      </c>
      <c r="B12" s="7" t="s">
        <v>186</v>
      </c>
      <c r="C12" s="7" t="s">
        <v>187</v>
      </c>
      <c r="D12" s="7" t="s">
        <v>188</v>
      </c>
      <c r="E12" s="7" t="s">
        <v>189</v>
      </c>
      <c r="F12" s="7" t="s">
        <v>28</v>
      </c>
    </row>
    <row r="13" customFormat="false" ht="21.75" hidden="false" customHeight="true" outlineLevel="0" collapsed="false">
      <c r="A13" s="7" t="s">
        <v>190</v>
      </c>
      <c r="B13" s="7" t="s">
        <v>191</v>
      </c>
      <c r="C13" s="7" t="s">
        <v>192</v>
      </c>
      <c r="D13" s="7" t="s">
        <v>193</v>
      </c>
      <c r="E13" s="7" t="s">
        <v>194</v>
      </c>
      <c r="F13" s="7" t="s">
        <v>28</v>
      </c>
    </row>
  </sheetData>
  <autoFilter ref="A1:F1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8"/>
    <col collapsed="false" customWidth="true" hidden="false" outlineLevel="0" max="3" min="3" style="1" width="18"/>
    <col collapsed="false" customWidth="true" hidden="false" outlineLevel="0" max="4" min="4" style="1" width="28"/>
    <col collapsed="false" customWidth="true" hidden="false" outlineLevel="0" max="5" min="5" style="1" width="60"/>
    <col collapsed="false" customWidth="true" hidden="false" outlineLevel="0" max="7" min="6" style="1" width="2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6" t="s">
        <v>18</v>
      </c>
      <c r="B1" s="6" t="s">
        <v>195</v>
      </c>
      <c r="C1" s="6" t="s">
        <v>196</v>
      </c>
      <c r="D1" s="6" t="s">
        <v>197</v>
      </c>
      <c r="E1" s="6" t="s">
        <v>198</v>
      </c>
      <c r="F1" s="6" t="s">
        <v>199</v>
      </c>
      <c r="G1" s="6" t="s">
        <v>200</v>
      </c>
      <c r="H1" s="6" t="s">
        <v>201</v>
      </c>
    </row>
    <row r="2" customFormat="false" ht="21.75" hidden="false" customHeight="true" outlineLevel="0" collapsed="false">
      <c r="A2" s="7" t="s">
        <v>202</v>
      </c>
      <c r="B2" s="7" t="s">
        <v>34</v>
      </c>
      <c r="C2" s="7" t="s">
        <v>203</v>
      </c>
      <c r="D2" s="7" t="s">
        <v>204</v>
      </c>
      <c r="E2" s="7" t="s">
        <v>205</v>
      </c>
      <c r="F2" s="7" t="s">
        <v>206</v>
      </c>
      <c r="G2" s="7" t="s">
        <v>207</v>
      </c>
      <c r="H2" s="7" t="s">
        <v>208</v>
      </c>
    </row>
    <row r="3" customFormat="false" ht="15" hidden="false" customHeight="true" outlineLevel="0" collapsed="false">
      <c r="A3" s="7" t="s">
        <v>209</v>
      </c>
      <c r="B3" s="7" t="s">
        <v>34</v>
      </c>
      <c r="C3" s="7" t="s">
        <v>203</v>
      </c>
      <c r="D3" s="7" t="s">
        <v>210</v>
      </c>
      <c r="E3" s="7" t="s">
        <v>211</v>
      </c>
      <c r="F3" s="7" t="s">
        <v>212</v>
      </c>
      <c r="G3" s="7" t="s">
        <v>213</v>
      </c>
      <c r="H3" s="7" t="s">
        <v>214</v>
      </c>
    </row>
    <row r="4" customFormat="false" ht="32.25" hidden="false" customHeight="true" outlineLevel="0" collapsed="false">
      <c r="A4" s="7" t="s">
        <v>215</v>
      </c>
      <c r="B4" s="7" t="s">
        <v>34</v>
      </c>
      <c r="C4" s="7" t="s">
        <v>203</v>
      </c>
      <c r="D4" s="7" t="s">
        <v>216</v>
      </c>
      <c r="E4" s="7" t="s">
        <v>217</v>
      </c>
      <c r="F4" s="7" t="s">
        <v>218</v>
      </c>
      <c r="G4" s="7" t="s">
        <v>219</v>
      </c>
      <c r="H4" s="7" t="s">
        <v>220</v>
      </c>
    </row>
    <row r="5" customFormat="false" ht="15" hidden="false" customHeight="true" outlineLevel="0" collapsed="false">
      <c r="A5" s="7" t="s">
        <v>221</v>
      </c>
      <c r="B5" s="7" t="s">
        <v>34</v>
      </c>
      <c r="C5" s="7" t="s">
        <v>203</v>
      </c>
      <c r="D5" s="7" t="s">
        <v>222</v>
      </c>
      <c r="E5" s="7" t="s">
        <v>223</v>
      </c>
      <c r="F5" s="7" t="s">
        <v>224</v>
      </c>
      <c r="G5" s="7" t="s">
        <v>225</v>
      </c>
      <c r="H5" s="7" t="s">
        <v>226</v>
      </c>
    </row>
    <row r="6" customFormat="false" ht="21.75" hidden="false" customHeight="true" outlineLevel="0" collapsed="false">
      <c r="A6" s="7" t="s">
        <v>227</v>
      </c>
      <c r="B6" s="7" t="s">
        <v>34</v>
      </c>
      <c r="C6" s="7" t="s">
        <v>203</v>
      </c>
      <c r="D6" s="7" t="s">
        <v>228</v>
      </c>
      <c r="E6" s="7" t="s">
        <v>229</v>
      </c>
      <c r="F6" s="7" t="s">
        <v>230</v>
      </c>
      <c r="G6" s="7" t="s">
        <v>231</v>
      </c>
      <c r="H6" s="7" t="s">
        <v>232</v>
      </c>
    </row>
    <row r="7" customFormat="false" ht="21.75" hidden="false" customHeight="true" outlineLevel="0" collapsed="false">
      <c r="A7" s="7" t="s">
        <v>233</v>
      </c>
      <c r="B7" s="7" t="s">
        <v>34</v>
      </c>
      <c r="C7" s="7" t="s">
        <v>203</v>
      </c>
      <c r="D7" s="7" t="s">
        <v>234</v>
      </c>
      <c r="E7" s="7" t="s">
        <v>235</v>
      </c>
      <c r="F7" s="7" t="s">
        <v>236</v>
      </c>
      <c r="G7" s="7" t="s">
        <v>237</v>
      </c>
      <c r="H7" s="7" t="s">
        <v>238</v>
      </c>
    </row>
    <row r="8" customFormat="false" ht="42.75" hidden="false" customHeight="true" outlineLevel="0" collapsed="false">
      <c r="A8" s="7" t="s">
        <v>239</v>
      </c>
      <c r="B8" s="7" t="s">
        <v>34</v>
      </c>
      <c r="C8" s="7" t="s">
        <v>203</v>
      </c>
      <c r="D8" s="7" t="s">
        <v>240</v>
      </c>
      <c r="E8" s="7" t="s">
        <v>241</v>
      </c>
      <c r="F8" s="7" t="s">
        <v>242</v>
      </c>
      <c r="G8" s="7" t="s">
        <v>243</v>
      </c>
      <c r="H8" s="7" t="s">
        <v>244</v>
      </c>
    </row>
    <row r="9" customFormat="false" ht="15" hidden="false" customHeight="true" outlineLevel="0" collapsed="false">
      <c r="A9" s="7" t="s">
        <v>245</v>
      </c>
      <c r="B9" s="7" t="s">
        <v>34</v>
      </c>
      <c r="C9" s="7" t="s">
        <v>203</v>
      </c>
      <c r="D9" s="7" t="s">
        <v>246</v>
      </c>
      <c r="E9" s="7" t="s">
        <v>247</v>
      </c>
      <c r="F9" s="7" t="s">
        <v>248</v>
      </c>
      <c r="G9" s="7" t="s">
        <v>249</v>
      </c>
      <c r="H9" s="7" t="s">
        <v>250</v>
      </c>
    </row>
    <row r="10" customFormat="false" ht="15" hidden="false" customHeight="true" outlineLevel="0" collapsed="false">
      <c r="A10" s="7" t="s">
        <v>251</v>
      </c>
      <c r="B10" s="7" t="s">
        <v>34</v>
      </c>
      <c r="C10" s="7" t="s">
        <v>252</v>
      </c>
      <c r="D10" s="7" t="s">
        <v>253</v>
      </c>
      <c r="E10" s="7" t="s">
        <v>254</v>
      </c>
      <c r="F10" s="7" t="s">
        <v>255</v>
      </c>
      <c r="G10" s="7" t="s">
        <v>256</v>
      </c>
      <c r="H10" s="7" t="s">
        <v>257</v>
      </c>
    </row>
    <row r="11" customFormat="false" ht="15" hidden="false" customHeight="true" outlineLevel="0" collapsed="false">
      <c r="A11" s="7" t="s">
        <v>258</v>
      </c>
      <c r="B11" s="7" t="s">
        <v>34</v>
      </c>
      <c r="C11" s="7" t="s">
        <v>252</v>
      </c>
      <c r="D11" s="7" t="s">
        <v>259</v>
      </c>
      <c r="E11" s="7" t="s">
        <v>260</v>
      </c>
      <c r="F11" s="7" t="s">
        <v>261</v>
      </c>
      <c r="G11" s="7" t="s">
        <v>262</v>
      </c>
      <c r="H11" s="7" t="s">
        <v>263</v>
      </c>
    </row>
    <row r="12" customFormat="false" ht="15" hidden="false" customHeight="true" outlineLevel="0" collapsed="false">
      <c r="A12" s="7" t="s">
        <v>264</v>
      </c>
      <c r="B12" s="7" t="s">
        <v>34</v>
      </c>
      <c r="C12" s="7" t="s">
        <v>252</v>
      </c>
      <c r="D12" s="7" t="s">
        <v>265</v>
      </c>
      <c r="E12" s="7" t="s">
        <v>266</v>
      </c>
      <c r="F12" s="7" t="s">
        <v>267</v>
      </c>
      <c r="G12" s="7" t="s">
        <v>268</v>
      </c>
      <c r="H12" s="7" t="s">
        <v>269</v>
      </c>
    </row>
    <row r="13" customFormat="false" ht="15" hidden="false" customHeight="true" outlineLevel="0" collapsed="false">
      <c r="A13" s="7" t="s">
        <v>270</v>
      </c>
      <c r="B13" s="7" t="s">
        <v>34</v>
      </c>
      <c r="C13" s="7" t="s">
        <v>252</v>
      </c>
      <c r="D13" s="7" t="s">
        <v>271</v>
      </c>
      <c r="E13" s="7" t="s">
        <v>272</v>
      </c>
      <c r="F13" s="7" t="s">
        <v>236</v>
      </c>
      <c r="G13" s="7" t="s">
        <v>273</v>
      </c>
      <c r="H13" s="7" t="s">
        <v>274</v>
      </c>
    </row>
    <row r="14" customFormat="false" ht="15" hidden="false" customHeight="true" outlineLevel="0" collapsed="false">
      <c r="A14" s="7" t="s">
        <v>275</v>
      </c>
      <c r="B14" s="7" t="s">
        <v>34</v>
      </c>
      <c r="C14" s="7" t="s">
        <v>252</v>
      </c>
      <c r="D14" s="7" t="s">
        <v>276</v>
      </c>
      <c r="E14" s="7" t="s">
        <v>277</v>
      </c>
      <c r="F14" s="7" t="s">
        <v>278</v>
      </c>
      <c r="G14" s="7" t="s">
        <v>279</v>
      </c>
      <c r="H14" s="7" t="s">
        <v>280</v>
      </c>
    </row>
    <row r="15" customFormat="false" ht="15" hidden="false" customHeight="true" outlineLevel="0" collapsed="false">
      <c r="A15" s="7" t="s">
        <v>281</v>
      </c>
      <c r="B15" s="7" t="s">
        <v>34</v>
      </c>
      <c r="C15" s="7" t="s">
        <v>252</v>
      </c>
      <c r="D15" s="7" t="s">
        <v>282</v>
      </c>
      <c r="E15" s="7" t="s">
        <v>283</v>
      </c>
      <c r="F15" s="7" t="s">
        <v>284</v>
      </c>
      <c r="G15" s="7" t="s">
        <v>285</v>
      </c>
      <c r="H15" s="7" t="s">
        <v>286</v>
      </c>
    </row>
    <row r="16" customFormat="false" ht="21.75" hidden="false" customHeight="true" outlineLevel="0" collapsed="false">
      <c r="A16" s="7" t="s">
        <v>287</v>
      </c>
      <c r="B16" s="7" t="s">
        <v>34</v>
      </c>
      <c r="C16" s="7" t="s">
        <v>252</v>
      </c>
      <c r="D16" s="7" t="s">
        <v>288</v>
      </c>
      <c r="E16" s="7" t="s">
        <v>289</v>
      </c>
      <c r="F16" s="7" t="s">
        <v>290</v>
      </c>
      <c r="G16" s="7" t="s">
        <v>291</v>
      </c>
      <c r="H16" s="7" t="s">
        <v>292</v>
      </c>
    </row>
    <row r="17" customFormat="false" ht="15" hidden="false" customHeight="true" outlineLevel="0" collapsed="false">
      <c r="A17" s="7" t="s">
        <v>293</v>
      </c>
      <c r="B17" s="7" t="s">
        <v>41</v>
      </c>
      <c r="C17" s="7" t="s">
        <v>294</v>
      </c>
      <c r="D17" s="7" t="s">
        <v>295</v>
      </c>
      <c r="E17" s="7" t="s">
        <v>296</v>
      </c>
      <c r="F17" s="7" t="s">
        <v>297</v>
      </c>
      <c r="G17" s="7" t="s">
        <v>298</v>
      </c>
      <c r="H17" s="7" t="s">
        <v>299</v>
      </c>
    </row>
    <row r="18" customFormat="false" ht="15" hidden="false" customHeight="true" outlineLevel="0" collapsed="false">
      <c r="A18" s="7" t="s">
        <v>300</v>
      </c>
      <c r="B18" s="7" t="s">
        <v>41</v>
      </c>
      <c r="C18" s="7" t="s">
        <v>294</v>
      </c>
      <c r="D18" s="7" t="s">
        <v>301</v>
      </c>
      <c r="E18" s="7" t="s">
        <v>302</v>
      </c>
      <c r="F18" s="7" t="s">
        <v>303</v>
      </c>
      <c r="G18" s="7" t="s">
        <v>304</v>
      </c>
      <c r="H18" s="7" t="s">
        <v>305</v>
      </c>
    </row>
    <row r="19" customFormat="false" ht="15" hidden="false" customHeight="true" outlineLevel="0" collapsed="false">
      <c r="A19" s="7" t="s">
        <v>306</v>
      </c>
      <c r="B19" s="7" t="s">
        <v>41</v>
      </c>
      <c r="C19" s="7" t="s">
        <v>294</v>
      </c>
      <c r="D19" s="7" t="s">
        <v>307</v>
      </c>
      <c r="E19" s="7" t="s">
        <v>308</v>
      </c>
      <c r="F19" s="7" t="s">
        <v>309</v>
      </c>
      <c r="G19" s="7" t="s">
        <v>310</v>
      </c>
      <c r="H19" s="7" t="s">
        <v>311</v>
      </c>
    </row>
    <row r="20" customFormat="false" ht="15" hidden="false" customHeight="true" outlineLevel="0" collapsed="false">
      <c r="A20" s="7" t="s">
        <v>312</v>
      </c>
      <c r="B20" s="7" t="s">
        <v>41</v>
      </c>
      <c r="C20" s="7" t="s">
        <v>294</v>
      </c>
      <c r="D20" s="7" t="s">
        <v>313</v>
      </c>
      <c r="E20" s="7" t="s">
        <v>314</v>
      </c>
      <c r="F20" s="7" t="s">
        <v>315</v>
      </c>
      <c r="G20" s="7" t="s">
        <v>313</v>
      </c>
      <c r="H20" s="7" t="s">
        <v>316</v>
      </c>
    </row>
    <row r="21" customFormat="false" ht="21.75" hidden="false" customHeight="true" outlineLevel="0" collapsed="false">
      <c r="A21" s="7" t="s">
        <v>317</v>
      </c>
      <c r="B21" s="7" t="s">
        <v>48</v>
      </c>
      <c r="C21" s="7" t="s">
        <v>49</v>
      </c>
      <c r="D21" s="7" t="s">
        <v>318</v>
      </c>
      <c r="E21" s="7" t="s">
        <v>319</v>
      </c>
      <c r="F21" s="7" t="s">
        <v>320</v>
      </c>
      <c r="G21" s="7" t="s">
        <v>321</v>
      </c>
      <c r="H21" s="7" t="s">
        <v>322</v>
      </c>
    </row>
    <row r="22" customFormat="false" ht="21.75" hidden="false" customHeight="true" outlineLevel="0" collapsed="false">
      <c r="A22" s="7" t="s">
        <v>323</v>
      </c>
      <c r="B22" s="7" t="s">
        <v>26</v>
      </c>
      <c r="C22" s="7" t="s">
        <v>324</v>
      </c>
      <c r="D22" s="7" t="s">
        <v>325</v>
      </c>
      <c r="E22" s="7" t="s">
        <v>326</v>
      </c>
      <c r="F22" s="7" t="s">
        <v>327</v>
      </c>
      <c r="G22" s="7" t="s">
        <v>325</v>
      </c>
      <c r="H22" s="7" t="s">
        <v>328</v>
      </c>
    </row>
    <row r="23" customFormat="false" ht="15" hidden="false" customHeight="true" outlineLevel="0" collapsed="false">
      <c r="A23" s="7" t="s">
        <v>329</v>
      </c>
      <c r="B23" s="7" t="s">
        <v>62</v>
      </c>
      <c r="C23" s="7" t="s">
        <v>330</v>
      </c>
      <c r="D23" s="7" t="s">
        <v>331</v>
      </c>
      <c r="E23" s="7" t="s">
        <v>332</v>
      </c>
      <c r="F23" s="7" t="s">
        <v>333</v>
      </c>
      <c r="G23" s="7" t="s">
        <v>213</v>
      </c>
      <c r="H23" s="7" t="s">
        <v>334</v>
      </c>
    </row>
    <row r="24" customFormat="false" ht="21.75" hidden="false" customHeight="true" outlineLevel="0" collapsed="false">
      <c r="A24" s="7" t="s">
        <v>335</v>
      </c>
      <c r="B24" s="7" t="s">
        <v>62</v>
      </c>
      <c r="C24" s="7" t="s">
        <v>330</v>
      </c>
      <c r="D24" s="7" t="s">
        <v>336</v>
      </c>
      <c r="E24" s="7" t="s">
        <v>337</v>
      </c>
      <c r="F24" s="7" t="s">
        <v>338</v>
      </c>
      <c r="G24" s="7" t="s">
        <v>338</v>
      </c>
      <c r="H24" s="7" t="s">
        <v>339</v>
      </c>
    </row>
    <row r="25" customFormat="false" ht="15" hidden="false" customHeight="true" outlineLevel="0" collapsed="false">
      <c r="A25" s="7" t="s">
        <v>340</v>
      </c>
      <c r="B25" s="7" t="s">
        <v>75</v>
      </c>
      <c r="C25" s="7" t="s">
        <v>341</v>
      </c>
      <c r="D25" s="7" t="s">
        <v>342</v>
      </c>
      <c r="E25" s="7" t="s">
        <v>343</v>
      </c>
      <c r="F25" s="7" t="s">
        <v>344</v>
      </c>
      <c r="G25" s="7" t="s">
        <v>345</v>
      </c>
      <c r="H25" s="7" t="s">
        <v>346</v>
      </c>
    </row>
    <row r="26" customFormat="false" ht="15" hidden="false" customHeight="true" outlineLevel="0" collapsed="false">
      <c r="A26" s="7" t="s">
        <v>347</v>
      </c>
      <c r="B26" s="7" t="s">
        <v>75</v>
      </c>
      <c r="C26" s="7" t="s">
        <v>341</v>
      </c>
      <c r="D26" s="7" t="s">
        <v>348</v>
      </c>
      <c r="E26" s="7" t="s">
        <v>349</v>
      </c>
      <c r="F26" s="7" t="s">
        <v>350</v>
      </c>
      <c r="G26" s="7" t="s">
        <v>351</v>
      </c>
      <c r="H26" s="7" t="s">
        <v>352</v>
      </c>
    </row>
    <row r="27" customFormat="false" ht="15" hidden="false" customHeight="true" outlineLevel="0" collapsed="false">
      <c r="A27" s="7" t="s">
        <v>353</v>
      </c>
      <c r="B27" s="7" t="s">
        <v>69</v>
      </c>
      <c r="C27" s="7" t="s">
        <v>341</v>
      </c>
      <c r="D27" s="7" t="s">
        <v>354</v>
      </c>
      <c r="E27" s="7" t="s">
        <v>355</v>
      </c>
      <c r="F27" s="7" t="s">
        <v>356</v>
      </c>
      <c r="G27" s="7" t="s">
        <v>357</v>
      </c>
      <c r="H27" s="7" t="s">
        <v>358</v>
      </c>
    </row>
    <row r="28" customFormat="false" ht="15" hidden="false" customHeight="true" outlineLevel="0" collapsed="false">
      <c r="A28" s="7" t="s">
        <v>359</v>
      </c>
      <c r="B28" s="7" t="s">
        <v>75</v>
      </c>
      <c r="C28" s="7" t="s">
        <v>341</v>
      </c>
      <c r="D28" s="7" t="s">
        <v>360</v>
      </c>
      <c r="E28" s="7" t="s">
        <v>361</v>
      </c>
      <c r="F28" s="7" t="s">
        <v>362</v>
      </c>
      <c r="G28" s="7" t="s">
        <v>363</v>
      </c>
      <c r="H28" s="7" t="s">
        <v>364</v>
      </c>
    </row>
    <row r="29" customFormat="false" ht="32.25" hidden="false" customHeight="true" outlineLevel="0" collapsed="false">
      <c r="A29" s="7" t="s">
        <v>365</v>
      </c>
      <c r="B29" s="7" t="s">
        <v>75</v>
      </c>
      <c r="C29" s="7" t="s">
        <v>366</v>
      </c>
      <c r="D29" s="7" t="s">
        <v>367</v>
      </c>
      <c r="E29" s="7" t="s">
        <v>368</v>
      </c>
      <c r="F29" s="7" t="s">
        <v>369</v>
      </c>
      <c r="G29" s="7" t="s">
        <v>370</v>
      </c>
      <c r="H29" s="7" t="s">
        <v>371</v>
      </c>
    </row>
    <row r="30" customFormat="false" ht="21.75" hidden="false" customHeight="true" outlineLevel="0" collapsed="false">
      <c r="A30" s="7" t="s">
        <v>372</v>
      </c>
      <c r="B30" s="7" t="s">
        <v>81</v>
      </c>
      <c r="C30" s="7" t="s">
        <v>341</v>
      </c>
      <c r="D30" s="7" t="s">
        <v>373</v>
      </c>
      <c r="E30" s="7" t="s">
        <v>374</v>
      </c>
      <c r="F30" s="7" t="s">
        <v>375</v>
      </c>
      <c r="G30" s="7" t="s">
        <v>376</v>
      </c>
      <c r="H30" s="7" t="s">
        <v>377</v>
      </c>
    </row>
    <row r="31" customFormat="false" ht="15" hidden="false" customHeight="true" outlineLevel="0" collapsed="false">
      <c r="A31" s="7" t="s">
        <v>378</v>
      </c>
      <c r="B31" s="7" t="s">
        <v>81</v>
      </c>
      <c r="C31" s="7" t="s">
        <v>341</v>
      </c>
      <c r="D31" s="7" t="s">
        <v>379</v>
      </c>
      <c r="E31" s="7" t="s">
        <v>380</v>
      </c>
      <c r="F31" s="7" t="s">
        <v>381</v>
      </c>
      <c r="G31" s="7" t="s">
        <v>382</v>
      </c>
      <c r="H31" s="7" t="s">
        <v>383</v>
      </c>
    </row>
    <row r="32" customFormat="false" ht="15" hidden="false" customHeight="true" outlineLevel="0" collapsed="false">
      <c r="A32" s="7" t="s">
        <v>384</v>
      </c>
      <c r="B32" s="7" t="s">
        <v>81</v>
      </c>
      <c r="C32" s="7" t="s">
        <v>341</v>
      </c>
      <c r="D32" s="7" t="s">
        <v>385</v>
      </c>
      <c r="E32" s="7" t="s">
        <v>386</v>
      </c>
      <c r="F32" s="7" t="s">
        <v>387</v>
      </c>
      <c r="G32" s="7" t="s">
        <v>388</v>
      </c>
      <c r="H32" s="7" t="s">
        <v>389</v>
      </c>
    </row>
    <row r="33" customFormat="false" ht="15" hidden="false" customHeight="true" outlineLevel="0" collapsed="false">
      <c r="A33" s="7" t="s">
        <v>390</v>
      </c>
      <c r="B33" s="7" t="s">
        <v>93</v>
      </c>
      <c r="C33" s="7" t="s">
        <v>391</v>
      </c>
      <c r="D33" s="7" t="s">
        <v>392</v>
      </c>
      <c r="E33" s="7" t="s">
        <v>393</v>
      </c>
      <c r="F33" s="7" t="s">
        <v>394</v>
      </c>
      <c r="G33" s="7" t="s">
        <v>395</v>
      </c>
      <c r="H33" s="7" t="s">
        <v>396</v>
      </c>
    </row>
    <row r="34" customFormat="false" ht="15" hidden="false" customHeight="true" outlineLevel="0" collapsed="false">
      <c r="A34" s="7" t="s">
        <v>397</v>
      </c>
      <c r="B34" s="7" t="s">
        <v>93</v>
      </c>
      <c r="C34" s="7" t="s">
        <v>391</v>
      </c>
      <c r="D34" s="7" t="s">
        <v>398</v>
      </c>
      <c r="E34" s="7" t="s">
        <v>399</v>
      </c>
      <c r="F34" s="7" t="s">
        <v>400</v>
      </c>
      <c r="G34" s="7" t="s">
        <v>213</v>
      </c>
      <c r="H34" s="7" t="s">
        <v>401</v>
      </c>
    </row>
    <row r="35" customFormat="false" ht="21.75" hidden="false" customHeight="true" outlineLevel="0" collapsed="false">
      <c r="A35" s="7" t="s">
        <v>402</v>
      </c>
      <c r="B35" s="7" t="s">
        <v>93</v>
      </c>
      <c r="C35" s="7" t="s">
        <v>391</v>
      </c>
      <c r="D35" s="7" t="s">
        <v>403</v>
      </c>
      <c r="E35" s="7" t="s">
        <v>404</v>
      </c>
      <c r="F35" s="7" t="s">
        <v>405</v>
      </c>
      <c r="G35" s="7" t="s">
        <v>406</v>
      </c>
      <c r="H35" s="7" t="s">
        <v>407</v>
      </c>
    </row>
    <row r="36" customFormat="false" ht="15" hidden="false" customHeight="true" outlineLevel="0" collapsed="false">
      <c r="A36" s="7" t="s">
        <v>408</v>
      </c>
      <c r="B36" s="7" t="s">
        <v>99</v>
      </c>
      <c r="C36" s="7" t="s">
        <v>409</v>
      </c>
      <c r="D36" s="7" t="s">
        <v>3</v>
      </c>
      <c r="E36" s="7" t="s">
        <v>410</v>
      </c>
      <c r="F36" s="7" t="s">
        <v>411</v>
      </c>
      <c r="G36" s="7" t="s">
        <v>412</v>
      </c>
      <c r="H36" s="7" t="s">
        <v>413</v>
      </c>
    </row>
    <row r="37" customFormat="false" ht="15" hidden="false" customHeight="true" outlineLevel="0" collapsed="false">
      <c r="A37" s="7" t="s">
        <v>414</v>
      </c>
      <c r="B37" s="7" t="s">
        <v>99</v>
      </c>
      <c r="C37" s="7" t="s">
        <v>409</v>
      </c>
      <c r="D37" s="7" t="s">
        <v>415</v>
      </c>
      <c r="E37" s="7" t="s">
        <v>416</v>
      </c>
      <c r="F37" s="7" t="s">
        <v>411</v>
      </c>
      <c r="G37" s="7" t="s">
        <v>417</v>
      </c>
      <c r="H37" s="7" t="s">
        <v>418</v>
      </c>
    </row>
    <row r="38" customFormat="false" ht="15" hidden="false" customHeight="true" outlineLevel="0" collapsed="false">
      <c r="A38" s="7" t="s">
        <v>419</v>
      </c>
      <c r="B38" s="7" t="s">
        <v>99</v>
      </c>
      <c r="C38" s="7" t="s">
        <v>409</v>
      </c>
      <c r="D38" s="7" t="s">
        <v>420</v>
      </c>
      <c r="E38" s="7" t="s">
        <v>421</v>
      </c>
      <c r="F38" s="7" t="s">
        <v>422</v>
      </c>
      <c r="G38" s="7" t="s">
        <v>395</v>
      </c>
      <c r="H38" s="7" t="s">
        <v>423</v>
      </c>
    </row>
    <row r="39" customFormat="false" ht="15" hidden="false" customHeight="true" outlineLevel="0" collapsed="false">
      <c r="A39" s="7" t="s">
        <v>424</v>
      </c>
      <c r="B39" s="7" t="s">
        <v>99</v>
      </c>
      <c r="C39" s="7" t="s">
        <v>409</v>
      </c>
      <c r="D39" s="7" t="s">
        <v>425</v>
      </c>
      <c r="E39" s="7" t="s">
        <v>426</v>
      </c>
      <c r="F39" s="7" t="s">
        <v>427</v>
      </c>
      <c r="G39" s="7" t="s">
        <v>428</v>
      </c>
      <c r="H39" s="7" t="s">
        <v>429</v>
      </c>
    </row>
    <row r="40" customFormat="false" ht="15" hidden="false" customHeight="true" outlineLevel="0" collapsed="false">
      <c r="A40" s="7" t="s">
        <v>430</v>
      </c>
      <c r="B40" s="7" t="s">
        <v>106</v>
      </c>
      <c r="C40" s="7" t="s">
        <v>431</v>
      </c>
      <c r="D40" s="7" t="s">
        <v>432</v>
      </c>
      <c r="E40" s="7" t="s">
        <v>433</v>
      </c>
      <c r="F40" s="7" t="s">
        <v>400</v>
      </c>
      <c r="G40" s="7" t="s">
        <v>434</v>
      </c>
      <c r="H40" s="7" t="s">
        <v>435</v>
      </c>
    </row>
    <row r="41" customFormat="false" ht="15" hidden="false" customHeight="true" outlineLevel="0" collapsed="false">
      <c r="A41" s="7" t="s">
        <v>436</v>
      </c>
      <c r="B41" s="7" t="s">
        <v>106</v>
      </c>
      <c r="C41" s="7" t="s">
        <v>431</v>
      </c>
      <c r="D41" s="7" t="s">
        <v>437</v>
      </c>
      <c r="E41" s="7" t="s">
        <v>438</v>
      </c>
      <c r="F41" s="7" t="s">
        <v>439</v>
      </c>
      <c r="G41" s="7" t="s">
        <v>213</v>
      </c>
      <c r="H41" s="7" t="s">
        <v>440</v>
      </c>
    </row>
    <row r="42" customFormat="false" ht="15" hidden="false" customHeight="true" outlineLevel="0" collapsed="false">
      <c r="A42" s="7" t="s">
        <v>441</v>
      </c>
      <c r="B42" s="7" t="s">
        <v>110</v>
      </c>
      <c r="C42" s="7" t="s">
        <v>442</v>
      </c>
      <c r="D42" s="7" t="s">
        <v>443</v>
      </c>
      <c r="E42" s="7" t="s">
        <v>444</v>
      </c>
      <c r="F42" s="7" t="s">
        <v>445</v>
      </c>
      <c r="G42" s="7" t="s">
        <v>446</v>
      </c>
      <c r="H42" s="7" t="s">
        <v>447</v>
      </c>
    </row>
    <row r="43" customFormat="false" ht="15" hidden="false" customHeight="true" outlineLevel="0" collapsed="false">
      <c r="A43" s="7" t="s">
        <v>448</v>
      </c>
      <c r="B43" s="7" t="s">
        <v>110</v>
      </c>
      <c r="C43" s="7" t="s">
        <v>442</v>
      </c>
      <c r="D43" s="7" t="s">
        <v>449</v>
      </c>
      <c r="E43" s="7" t="s">
        <v>450</v>
      </c>
      <c r="F43" s="7" t="s">
        <v>451</v>
      </c>
      <c r="G43" s="7" t="s">
        <v>213</v>
      </c>
      <c r="H43" s="7" t="s">
        <v>452</v>
      </c>
    </row>
    <row r="44" customFormat="false" ht="15" hidden="false" customHeight="true" outlineLevel="0" collapsed="false">
      <c r="A44" s="7" t="s">
        <v>453</v>
      </c>
      <c r="B44" s="7" t="s">
        <v>114</v>
      </c>
      <c r="C44" s="7" t="s">
        <v>454</v>
      </c>
      <c r="D44" s="7" t="s">
        <v>455</v>
      </c>
      <c r="E44" s="7" t="s">
        <v>456</v>
      </c>
      <c r="F44" s="7" t="s">
        <v>457</v>
      </c>
      <c r="G44" s="7" t="s">
        <v>458</v>
      </c>
      <c r="H44" s="7" t="s">
        <v>459</v>
      </c>
    </row>
    <row r="45" customFormat="false" ht="21.75" hidden="false" customHeight="true" outlineLevel="0" collapsed="false">
      <c r="A45" s="7" t="s">
        <v>460</v>
      </c>
      <c r="B45" s="7" t="s">
        <v>128</v>
      </c>
      <c r="C45" s="7" t="s">
        <v>461</v>
      </c>
      <c r="D45" s="7" t="s">
        <v>462</v>
      </c>
      <c r="E45" s="7" t="s">
        <v>463</v>
      </c>
      <c r="F45" s="7" t="s">
        <v>464</v>
      </c>
      <c r="G45" s="7" t="s">
        <v>462</v>
      </c>
      <c r="H45" s="7" t="s">
        <v>465</v>
      </c>
    </row>
    <row r="46" customFormat="false" ht="15" hidden="false" customHeight="true" outlineLevel="0" collapsed="false">
      <c r="A46" s="7" t="s">
        <v>466</v>
      </c>
      <c r="B46" s="7" t="s">
        <v>128</v>
      </c>
      <c r="C46" s="7" t="s">
        <v>461</v>
      </c>
      <c r="D46" s="7" t="s">
        <v>467</v>
      </c>
      <c r="E46" s="7" t="s">
        <v>468</v>
      </c>
      <c r="F46" s="7" t="s">
        <v>469</v>
      </c>
      <c r="G46" s="7" t="s">
        <v>470</v>
      </c>
      <c r="H46" s="7" t="s">
        <v>471</v>
      </c>
    </row>
    <row r="47" customFormat="false" ht="15" hidden="false" customHeight="true" outlineLevel="0" collapsed="false">
      <c r="A47" s="7" t="s">
        <v>472</v>
      </c>
      <c r="B47" s="7" t="s">
        <v>128</v>
      </c>
      <c r="C47" s="7" t="s">
        <v>461</v>
      </c>
      <c r="D47" s="7" t="s">
        <v>473</v>
      </c>
      <c r="E47" s="7" t="s">
        <v>474</v>
      </c>
      <c r="F47" s="7" t="s">
        <v>475</v>
      </c>
      <c r="G47" s="7" t="s">
        <v>476</v>
      </c>
      <c r="H47" s="7" t="s">
        <v>477</v>
      </c>
    </row>
    <row r="48" customFormat="false" ht="21.75" hidden="false" customHeight="true" outlineLevel="0" collapsed="false">
      <c r="A48" s="7" t="s">
        <v>478</v>
      </c>
      <c r="B48" s="7" t="s">
        <v>99</v>
      </c>
      <c r="C48" s="7" t="s">
        <v>479</v>
      </c>
      <c r="D48" s="7" t="s">
        <v>480</v>
      </c>
      <c r="E48" s="7" t="s">
        <v>481</v>
      </c>
      <c r="F48" s="7" t="s">
        <v>482</v>
      </c>
      <c r="G48" s="7" t="s">
        <v>483</v>
      </c>
      <c r="H48" s="7" t="s">
        <v>484</v>
      </c>
    </row>
    <row r="49" customFormat="false" ht="15" hidden="false" customHeight="true" outlineLevel="0" collapsed="false">
      <c r="A49" s="7" t="s">
        <v>485</v>
      </c>
      <c r="B49" s="7" t="s">
        <v>75</v>
      </c>
      <c r="C49" s="7" t="s">
        <v>341</v>
      </c>
      <c r="D49" s="7" t="s">
        <v>486</v>
      </c>
      <c r="E49" s="7" t="s">
        <v>487</v>
      </c>
      <c r="F49" s="7" t="s">
        <v>369</v>
      </c>
      <c r="G49" s="7" t="s">
        <v>488</v>
      </c>
      <c r="H49" s="7" t="s">
        <v>489</v>
      </c>
    </row>
    <row r="50" customFormat="false" ht="15" hidden="false" customHeight="true" outlineLevel="0" collapsed="false">
      <c r="A50" s="7" t="s">
        <v>490</v>
      </c>
      <c r="B50" s="7" t="s">
        <v>75</v>
      </c>
      <c r="C50" s="7" t="s">
        <v>341</v>
      </c>
      <c r="D50" s="7" t="s">
        <v>491</v>
      </c>
      <c r="E50" s="7" t="s">
        <v>492</v>
      </c>
      <c r="F50" s="7" t="s">
        <v>493</v>
      </c>
      <c r="G50" s="7" t="s">
        <v>494</v>
      </c>
      <c r="H50" s="7" t="s">
        <v>495</v>
      </c>
    </row>
    <row r="51" customFormat="false" ht="15" hidden="false" customHeight="true" outlineLevel="0" collapsed="false">
      <c r="A51" s="7" t="s">
        <v>496</v>
      </c>
      <c r="B51" s="7" t="s">
        <v>75</v>
      </c>
      <c r="C51" s="7" t="s">
        <v>341</v>
      </c>
      <c r="D51" s="7" t="s">
        <v>497</v>
      </c>
      <c r="E51" s="7" t="s">
        <v>498</v>
      </c>
      <c r="F51" s="7" t="s">
        <v>499</v>
      </c>
      <c r="G51" s="7" t="s">
        <v>500</v>
      </c>
      <c r="H51" s="7" t="s">
        <v>501</v>
      </c>
    </row>
  </sheetData>
  <autoFilter ref="A1:H5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42"/>
    <col collapsed="false" customWidth="true" hidden="false" outlineLevel="0" max="3" min="3" style="1" width="40"/>
    <col collapsed="false" customWidth="true" hidden="false" outlineLevel="0" max="4" min="4" style="1" width="28"/>
    <col collapsed="false" customWidth="true" hidden="false" outlineLevel="0" max="5" min="5" style="1" width="46"/>
  </cols>
  <sheetData>
    <row r="1" customFormat="false" ht="23.25" hidden="false" customHeight="true" outlineLevel="0" collapsed="false">
      <c r="A1" s="6" t="s">
        <v>502</v>
      </c>
      <c r="B1" s="6" t="s">
        <v>503</v>
      </c>
      <c r="C1" s="6" t="s">
        <v>504</v>
      </c>
      <c r="D1" s="6" t="s">
        <v>505</v>
      </c>
      <c r="E1" s="6" t="s">
        <v>506</v>
      </c>
    </row>
    <row r="2" customFormat="false" ht="15" hidden="false" customHeight="true" outlineLevel="0" collapsed="false">
      <c r="A2" s="7" t="n">
        <v>8</v>
      </c>
      <c r="B2" s="7" t="s">
        <v>507</v>
      </c>
      <c r="C2" s="7" t="s">
        <v>508</v>
      </c>
      <c r="D2" s="7" t="s">
        <v>509</v>
      </c>
      <c r="E2" s="7" t="s">
        <v>510</v>
      </c>
    </row>
    <row r="3" customFormat="false" ht="15" hidden="false" customHeight="true" outlineLevel="0" collapsed="false">
      <c r="A3" s="7" t="n">
        <v>9</v>
      </c>
      <c r="B3" s="7" t="s">
        <v>511</v>
      </c>
      <c r="C3" s="7" t="s">
        <v>512</v>
      </c>
      <c r="D3" s="7" t="s">
        <v>93</v>
      </c>
      <c r="E3" s="7" t="s">
        <v>510</v>
      </c>
    </row>
    <row r="4" customFormat="false" ht="15" hidden="false" customHeight="true" outlineLevel="0" collapsed="false">
      <c r="A4" s="7" t="n">
        <v>10</v>
      </c>
      <c r="B4" s="7" t="s">
        <v>513</v>
      </c>
      <c r="C4" s="7" t="s">
        <v>514</v>
      </c>
      <c r="D4" s="7" t="s">
        <v>93</v>
      </c>
      <c r="E4" s="7" t="s">
        <v>510</v>
      </c>
    </row>
    <row r="5" customFormat="false" ht="15" hidden="false" customHeight="true" outlineLevel="0" collapsed="false">
      <c r="A5" s="7" t="n">
        <v>11</v>
      </c>
      <c r="B5" s="7" t="s">
        <v>515</v>
      </c>
      <c r="C5" s="7" t="s">
        <v>516</v>
      </c>
      <c r="D5" s="7" t="s">
        <v>93</v>
      </c>
      <c r="E5" s="7" t="s">
        <v>510</v>
      </c>
    </row>
    <row r="6" customFormat="false" ht="15" hidden="false" customHeight="true" outlineLevel="0" collapsed="false">
      <c r="A6" s="7" t="n">
        <v>12</v>
      </c>
      <c r="B6" s="7" t="s">
        <v>517</v>
      </c>
      <c r="C6" s="7" t="s">
        <v>518</v>
      </c>
      <c r="D6" s="7" t="s">
        <v>519</v>
      </c>
      <c r="E6" s="7" t="s">
        <v>510</v>
      </c>
    </row>
    <row r="7" customFormat="false" ht="15" hidden="false" customHeight="true" outlineLevel="0" collapsed="false">
      <c r="A7" s="7" t="n">
        <v>13</v>
      </c>
      <c r="B7" s="7" t="s">
        <v>520</v>
      </c>
      <c r="C7" s="7" t="s">
        <v>521</v>
      </c>
      <c r="D7" s="7" t="s">
        <v>119</v>
      </c>
      <c r="E7" s="7" t="s">
        <v>510</v>
      </c>
    </row>
    <row r="8" customFormat="false" ht="15" hidden="false" customHeight="true" outlineLevel="0" collapsed="false">
      <c r="A8" s="7" t="n">
        <v>15</v>
      </c>
      <c r="B8" s="7" t="s">
        <v>522</v>
      </c>
      <c r="C8" s="7" t="s">
        <v>523</v>
      </c>
      <c r="D8" s="7" t="s">
        <v>119</v>
      </c>
      <c r="E8" s="7" t="s">
        <v>510</v>
      </c>
    </row>
    <row r="9" customFormat="false" ht="15" hidden="false" customHeight="true" outlineLevel="0" collapsed="false">
      <c r="A9" s="7" t="n">
        <v>16</v>
      </c>
      <c r="B9" s="7" t="s">
        <v>524</v>
      </c>
      <c r="C9" s="7" t="s">
        <v>525</v>
      </c>
      <c r="D9" s="7" t="s">
        <v>526</v>
      </c>
      <c r="E9" s="7" t="s">
        <v>527</v>
      </c>
    </row>
    <row r="10" customFormat="false" ht="15" hidden="false" customHeight="true" outlineLevel="0" collapsed="false">
      <c r="A10" s="7" t="n">
        <v>17</v>
      </c>
      <c r="B10" s="7" t="s">
        <v>528</v>
      </c>
      <c r="C10" s="7" t="s">
        <v>529</v>
      </c>
      <c r="D10" s="7" t="s">
        <v>530</v>
      </c>
      <c r="E10" s="7" t="s">
        <v>510</v>
      </c>
    </row>
    <row r="11" customFormat="false" ht="15" hidden="false" customHeight="true" outlineLevel="0" collapsed="false">
      <c r="A11" s="7" t="n">
        <v>18</v>
      </c>
      <c r="B11" s="7" t="s">
        <v>531</v>
      </c>
      <c r="C11" s="7" t="s">
        <v>532</v>
      </c>
      <c r="D11" s="7" t="s">
        <v>533</v>
      </c>
      <c r="E11" s="7" t="s">
        <v>534</v>
      </c>
    </row>
    <row r="12" customFormat="false" ht="15" hidden="false" customHeight="true" outlineLevel="0" collapsed="false">
      <c r="A12" s="7" t="n">
        <v>21</v>
      </c>
      <c r="B12" s="7" t="s">
        <v>535</v>
      </c>
      <c r="C12" s="7" t="s">
        <v>536</v>
      </c>
      <c r="D12" s="7" t="s">
        <v>137</v>
      </c>
      <c r="E12" s="7" t="s">
        <v>510</v>
      </c>
    </row>
    <row r="13" customFormat="false" ht="15" hidden="false" customHeight="true" outlineLevel="0" collapsed="false">
      <c r="A13" s="7" t="n">
        <v>22</v>
      </c>
      <c r="B13" s="7" t="s">
        <v>537</v>
      </c>
      <c r="C13" s="7" t="s">
        <v>538</v>
      </c>
      <c r="D13" s="7" t="s">
        <v>142</v>
      </c>
      <c r="E13" s="7" t="s">
        <v>539</v>
      </c>
    </row>
    <row r="14" customFormat="false" ht="15" hidden="false" customHeight="true" outlineLevel="0" collapsed="false">
      <c r="A14" s="7" t="n">
        <v>23</v>
      </c>
      <c r="B14" s="7" t="s">
        <v>540</v>
      </c>
      <c r="C14" s="7" t="s">
        <v>541</v>
      </c>
      <c r="D14" s="7" t="s">
        <v>90</v>
      </c>
      <c r="E14" s="7" t="s">
        <v>510</v>
      </c>
    </row>
    <row r="15" customFormat="false" ht="21.75" hidden="false" customHeight="true" outlineLevel="0" collapsed="false">
      <c r="A15" s="7" t="n">
        <v>24</v>
      </c>
      <c r="B15" s="7" t="s">
        <v>542</v>
      </c>
      <c r="C15" s="7" t="s">
        <v>543</v>
      </c>
      <c r="D15" s="7" t="s">
        <v>544</v>
      </c>
      <c r="E15" s="7" t="s">
        <v>545</v>
      </c>
    </row>
    <row r="16" customFormat="false" ht="15" hidden="false" customHeight="true" outlineLevel="0" collapsed="false">
      <c r="A16" s="7" t="n">
        <v>25</v>
      </c>
      <c r="B16" s="7" t="s">
        <v>546</v>
      </c>
      <c r="C16" s="7" t="s">
        <v>523</v>
      </c>
      <c r="D16" s="7" t="s">
        <v>236</v>
      </c>
      <c r="E16" s="7" t="s">
        <v>547</v>
      </c>
    </row>
    <row r="17" customFormat="false" ht="15" hidden="false" customHeight="true" outlineLevel="0" collapsed="false">
      <c r="A17" s="7" t="n">
        <v>28</v>
      </c>
      <c r="B17" s="7" t="s">
        <v>548</v>
      </c>
      <c r="C17" s="7" t="s">
        <v>549</v>
      </c>
      <c r="D17" s="7" t="s">
        <v>550</v>
      </c>
      <c r="E17" s="7" t="s">
        <v>510</v>
      </c>
    </row>
    <row r="18" customFormat="false" ht="15" hidden="false" customHeight="true" outlineLevel="0" collapsed="false">
      <c r="A18" s="7" t="n">
        <v>29</v>
      </c>
      <c r="B18" s="7" t="s">
        <v>551</v>
      </c>
      <c r="C18" s="7" t="s">
        <v>552</v>
      </c>
      <c r="D18" s="7" t="s">
        <v>59</v>
      </c>
      <c r="E18" s="7" t="s">
        <v>510</v>
      </c>
    </row>
    <row r="19" customFormat="false" ht="15" hidden="false" customHeight="true" outlineLevel="0" collapsed="false">
      <c r="A19" s="7" t="n">
        <v>30</v>
      </c>
      <c r="B19" s="7" t="s">
        <v>553</v>
      </c>
      <c r="C19" s="7" t="s">
        <v>554</v>
      </c>
      <c r="D19" s="7" t="s">
        <v>236</v>
      </c>
      <c r="E19" s="7" t="s">
        <v>547</v>
      </c>
    </row>
    <row r="20" customFormat="false" ht="21.75" hidden="false" customHeight="true" outlineLevel="0" collapsed="false">
      <c r="A20" s="7" t="n">
        <v>20</v>
      </c>
      <c r="B20" s="7" t="s">
        <v>555</v>
      </c>
      <c r="C20" s="7" t="s">
        <v>556</v>
      </c>
      <c r="D20" s="7" t="s">
        <v>236</v>
      </c>
      <c r="E20" s="7" t="s">
        <v>547</v>
      </c>
    </row>
  </sheetData>
  <autoFilter ref="A1:E2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10"/>
    <col collapsed="false" customWidth="true" hidden="false" outlineLevel="0" max="3" min="3" style="1" width="22"/>
    <col collapsed="false" customWidth="true" hidden="false" outlineLevel="0" max="4" min="4" style="1" width="60"/>
    <col collapsed="false" customWidth="true" hidden="false" outlineLevel="0" max="5" min="5" style="1" width="52"/>
    <col collapsed="false" customWidth="true" hidden="false" outlineLevel="0" max="6" min="6" style="1" width="11"/>
    <col collapsed="false" customWidth="true" hidden="false" outlineLevel="0" max="7" min="7" style="1" width="24"/>
  </cols>
  <sheetData>
    <row r="1" customFormat="false" ht="15" hidden="false" customHeight="true" outlineLevel="0" collapsed="false">
      <c r="A1" s="6" t="s">
        <v>557</v>
      </c>
      <c r="B1" s="6" t="s">
        <v>19</v>
      </c>
      <c r="C1" s="6" t="s">
        <v>558</v>
      </c>
      <c r="D1" s="6" t="s">
        <v>559</v>
      </c>
      <c r="E1" s="6" t="s">
        <v>560</v>
      </c>
      <c r="F1" s="6" t="s">
        <v>506</v>
      </c>
      <c r="G1" s="6" t="s">
        <v>561</v>
      </c>
    </row>
    <row r="2" customFormat="false" ht="42.75" hidden="false" customHeight="true" outlineLevel="0" collapsed="false">
      <c r="A2" s="7" t="s">
        <v>562</v>
      </c>
      <c r="B2" s="7" t="s">
        <v>26</v>
      </c>
      <c r="C2" s="7" t="s">
        <v>563</v>
      </c>
      <c r="D2" s="7" t="s">
        <v>564</v>
      </c>
      <c r="E2" s="7" t="s">
        <v>565</v>
      </c>
      <c r="F2" s="7" t="s">
        <v>566</v>
      </c>
      <c r="G2" s="7" t="s">
        <v>567</v>
      </c>
    </row>
    <row r="3" customFormat="false" ht="42.75" hidden="false" customHeight="true" outlineLevel="0" collapsed="false">
      <c r="A3" s="7" t="s">
        <v>568</v>
      </c>
      <c r="B3" s="7" t="s">
        <v>26</v>
      </c>
      <c r="C3" s="7" t="s">
        <v>563</v>
      </c>
      <c r="D3" s="7" t="s">
        <v>569</v>
      </c>
      <c r="E3" s="7" t="s">
        <v>570</v>
      </c>
      <c r="F3" s="7" t="s">
        <v>566</v>
      </c>
      <c r="G3" s="7" t="s">
        <v>571</v>
      </c>
    </row>
    <row r="4" customFormat="false" ht="74.25" hidden="false" customHeight="true" outlineLevel="0" collapsed="false">
      <c r="A4" s="7" t="s">
        <v>572</v>
      </c>
      <c r="B4" s="7" t="s">
        <v>26</v>
      </c>
      <c r="C4" s="7" t="s">
        <v>573</v>
      </c>
      <c r="D4" s="7" t="s">
        <v>574</v>
      </c>
      <c r="E4" s="7" t="s">
        <v>575</v>
      </c>
      <c r="F4" s="7" t="s">
        <v>566</v>
      </c>
      <c r="G4" s="7" t="s">
        <v>576</v>
      </c>
    </row>
    <row r="5" customFormat="false" ht="105.75" hidden="false" customHeight="true" outlineLevel="0" collapsed="false">
      <c r="A5" s="7" t="s">
        <v>577</v>
      </c>
      <c r="B5" s="7" t="s">
        <v>26</v>
      </c>
      <c r="C5" s="7" t="s">
        <v>578</v>
      </c>
      <c r="D5" s="7" t="s">
        <v>579</v>
      </c>
      <c r="E5" s="7" t="s">
        <v>580</v>
      </c>
      <c r="F5" s="7" t="s">
        <v>566</v>
      </c>
      <c r="G5" s="7" t="s">
        <v>581</v>
      </c>
    </row>
    <row r="6" customFormat="false" ht="95.25" hidden="false" customHeight="true" outlineLevel="0" collapsed="false">
      <c r="A6" s="7" t="s">
        <v>582</v>
      </c>
      <c r="B6" s="7" t="s">
        <v>26</v>
      </c>
      <c r="C6" s="7" t="s">
        <v>578</v>
      </c>
      <c r="D6" s="7" t="s">
        <v>583</v>
      </c>
      <c r="E6" s="7" t="s">
        <v>584</v>
      </c>
      <c r="F6" s="7" t="s">
        <v>566</v>
      </c>
      <c r="G6" s="7" t="s">
        <v>585</v>
      </c>
    </row>
    <row r="7" customFormat="false" ht="32.25" hidden="false" customHeight="true" outlineLevel="0" collapsed="false">
      <c r="A7" s="7" t="s">
        <v>586</v>
      </c>
      <c r="B7" s="7" t="s">
        <v>26</v>
      </c>
      <c r="C7" s="7" t="s">
        <v>563</v>
      </c>
      <c r="D7" s="7" t="s">
        <v>587</v>
      </c>
      <c r="E7" s="7" t="s">
        <v>588</v>
      </c>
      <c r="F7" s="7" t="s">
        <v>566</v>
      </c>
      <c r="G7" s="7" t="s">
        <v>589</v>
      </c>
    </row>
    <row r="8" customFormat="false" ht="53.25" hidden="false" customHeight="true" outlineLevel="0" collapsed="false">
      <c r="A8" s="7" t="s">
        <v>590</v>
      </c>
      <c r="B8" s="7" t="s">
        <v>26</v>
      </c>
      <c r="C8" s="7" t="s">
        <v>578</v>
      </c>
      <c r="D8" s="7" t="s">
        <v>591</v>
      </c>
      <c r="E8" s="7" t="s">
        <v>592</v>
      </c>
      <c r="F8" s="7" t="s">
        <v>566</v>
      </c>
      <c r="G8" s="7" t="s">
        <v>593</v>
      </c>
    </row>
    <row r="9" customFormat="false" ht="42.75" hidden="false" customHeight="true" outlineLevel="0" collapsed="false">
      <c r="A9" s="7" t="s">
        <v>594</v>
      </c>
      <c r="B9" s="7" t="s">
        <v>26</v>
      </c>
      <c r="C9" s="7" t="s">
        <v>563</v>
      </c>
      <c r="D9" s="7" t="s">
        <v>595</v>
      </c>
      <c r="E9" s="7" t="s">
        <v>596</v>
      </c>
      <c r="F9" s="7" t="s">
        <v>566</v>
      </c>
      <c r="G9" s="7" t="s">
        <v>597</v>
      </c>
    </row>
    <row r="10" customFormat="false" ht="63.75" hidden="false" customHeight="true" outlineLevel="0" collapsed="false">
      <c r="A10" s="7" t="s">
        <v>598</v>
      </c>
      <c r="B10" s="7" t="s">
        <v>26</v>
      </c>
      <c r="C10" s="7" t="s">
        <v>578</v>
      </c>
      <c r="D10" s="7" t="s">
        <v>599</v>
      </c>
      <c r="E10" s="7" t="s">
        <v>600</v>
      </c>
      <c r="F10" s="7" t="s">
        <v>566</v>
      </c>
      <c r="G10" s="7" t="s">
        <v>601</v>
      </c>
    </row>
    <row r="11" customFormat="false" ht="42.75" hidden="false" customHeight="true" outlineLevel="0" collapsed="false">
      <c r="A11" s="7" t="s">
        <v>602</v>
      </c>
      <c r="B11" s="7" t="s">
        <v>26</v>
      </c>
      <c r="C11" s="7" t="s">
        <v>563</v>
      </c>
      <c r="D11" s="7" t="s">
        <v>603</v>
      </c>
      <c r="E11" s="7" t="s">
        <v>604</v>
      </c>
      <c r="F11" s="7" t="s">
        <v>566</v>
      </c>
      <c r="G11" s="7" t="s">
        <v>605</v>
      </c>
    </row>
    <row r="12" customFormat="false" ht="74.25" hidden="false" customHeight="true" outlineLevel="0" collapsed="false">
      <c r="A12" s="7" t="s">
        <v>606</v>
      </c>
      <c r="B12" s="7" t="s">
        <v>26</v>
      </c>
      <c r="C12" s="7" t="s">
        <v>578</v>
      </c>
      <c r="D12" s="7" t="s">
        <v>607</v>
      </c>
      <c r="E12" s="7" t="s">
        <v>608</v>
      </c>
      <c r="F12" s="7" t="s">
        <v>566</v>
      </c>
      <c r="G12" s="7" t="s">
        <v>609</v>
      </c>
    </row>
    <row r="13" customFormat="false" ht="42.75" hidden="false" customHeight="true" outlineLevel="0" collapsed="false">
      <c r="A13" s="7" t="s">
        <v>610</v>
      </c>
      <c r="B13" s="7" t="s">
        <v>26</v>
      </c>
      <c r="C13" s="7" t="s">
        <v>578</v>
      </c>
      <c r="D13" s="7" t="s">
        <v>611</v>
      </c>
      <c r="E13" s="7" t="s">
        <v>612</v>
      </c>
      <c r="F13" s="7" t="s">
        <v>566</v>
      </c>
      <c r="G13" s="7" t="s">
        <v>613</v>
      </c>
    </row>
    <row r="14" customFormat="false" ht="53.25" hidden="false" customHeight="true" outlineLevel="0" collapsed="false">
      <c r="A14" s="7" t="s">
        <v>614</v>
      </c>
      <c r="B14" s="7" t="s">
        <v>26</v>
      </c>
      <c r="C14" s="7" t="s">
        <v>578</v>
      </c>
      <c r="D14" s="7" t="s">
        <v>615</v>
      </c>
      <c r="E14" s="7" t="s">
        <v>616</v>
      </c>
      <c r="F14" s="7" t="s">
        <v>566</v>
      </c>
      <c r="G14" s="7" t="s">
        <v>617</v>
      </c>
    </row>
    <row r="15" customFormat="false" ht="53.25" hidden="false" customHeight="true" outlineLevel="0" collapsed="false">
      <c r="A15" s="7" t="s">
        <v>618</v>
      </c>
      <c r="B15" s="7" t="s">
        <v>34</v>
      </c>
      <c r="C15" s="7" t="s">
        <v>619</v>
      </c>
      <c r="D15" s="7" t="s">
        <v>620</v>
      </c>
      <c r="E15" s="7" t="s">
        <v>621</v>
      </c>
      <c r="F15" s="7" t="s">
        <v>566</v>
      </c>
      <c r="G15" s="7" t="s">
        <v>622</v>
      </c>
    </row>
    <row r="16" customFormat="false" ht="32.25" hidden="false" customHeight="true" outlineLevel="0" collapsed="false">
      <c r="A16" s="7" t="s">
        <v>623</v>
      </c>
      <c r="B16" s="7" t="s">
        <v>34</v>
      </c>
      <c r="C16" s="7" t="s">
        <v>573</v>
      </c>
      <c r="D16" s="7" t="s">
        <v>624</v>
      </c>
      <c r="E16" s="7" t="s">
        <v>625</v>
      </c>
      <c r="F16" s="7" t="s">
        <v>566</v>
      </c>
      <c r="G16" s="7" t="s">
        <v>626</v>
      </c>
    </row>
    <row r="17" customFormat="false" ht="32.25" hidden="false" customHeight="true" outlineLevel="0" collapsed="false">
      <c r="A17" s="7" t="s">
        <v>627</v>
      </c>
      <c r="B17" s="7" t="s">
        <v>34</v>
      </c>
      <c r="C17" s="7" t="s">
        <v>619</v>
      </c>
      <c r="D17" s="7" t="s">
        <v>628</v>
      </c>
      <c r="E17" s="7" t="s">
        <v>629</v>
      </c>
      <c r="F17" s="7" t="s">
        <v>566</v>
      </c>
      <c r="G17" s="7" t="s">
        <v>630</v>
      </c>
    </row>
    <row r="18" customFormat="false" ht="53.25" hidden="false" customHeight="true" outlineLevel="0" collapsed="false">
      <c r="A18" s="7" t="s">
        <v>631</v>
      </c>
      <c r="B18" s="7" t="s">
        <v>34</v>
      </c>
      <c r="C18" s="7" t="s">
        <v>619</v>
      </c>
      <c r="D18" s="7" t="s">
        <v>632</v>
      </c>
      <c r="E18" s="7" t="s">
        <v>633</v>
      </c>
      <c r="F18" s="7" t="s">
        <v>566</v>
      </c>
      <c r="G18" s="7" t="s">
        <v>634</v>
      </c>
    </row>
    <row r="19" customFormat="false" ht="32.25" hidden="false" customHeight="true" outlineLevel="0" collapsed="false">
      <c r="A19" s="7" t="s">
        <v>635</v>
      </c>
      <c r="B19" s="7" t="s">
        <v>34</v>
      </c>
      <c r="C19" s="7" t="s">
        <v>573</v>
      </c>
      <c r="D19" s="7" t="s">
        <v>636</v>
      </c>
      <c r="E19" s="7" t="s">
        <v>637</v>
      </c>
      <c r="F19" s="7" t="s">
        <v>566</v>
      </c>
      <c r="G19" s="7" t="s">
        <v>638</v>
      </c>
    </row>
    <row r="20" customFormat="false" ht="32.25" hidden="false" customHeight="true" outlineLevel="0" collapsed="false">
      <c r="A20" s="7" t="s">
        <v>639</v>
      </c>
      <c r="B20" s="7" t="s">
        <v>34</v>
      </c>
      <c r="C20" s="7" t="s">
        <v>578</v>
      </c>
      <c r="D20" s="7" t="s">
        <v>640</v>
      </c>
      <c r="E20" s="7" t="s">
        <v>641</v>
      </c>
      <c r="F20" s="7" t="s">
        <v>566</v>
      </c>
      <c r="G20" s="7" t="s">
        <v>642</v>
      </c>
    </row>
    <row r="21" customFormat="false" ht="42.75" hidden="false" customHeight="true" outlineLevel="0" collapsed="false">
      <c r="A21" s="7" t="s">
        <v>643</v>
      </c>
      <c r="B21" s="7" t="s">
        <v>34</v>
      </c>
      <c r="C21" s="7" t="s">
        <v>578</v>
      </c>
      <c r="D21" s="7" t="s">
        <v>644</v>
      </c>
      <c r="E21" s="7" t="s">
        <v>645</v>
      </c>
      <c r="F21" s="7" t="s">
        <v>566</v>
      </c>
      <c r="G21" s="7" t="s">
        <v>646</v>
      </c>
    </row>
    <row r="22" customFormat="false" ht="63.75" hidden="false" customHeight="true" outlineLevel="0" collapsed="false">
      <c r="A22" s="7" t="s">
        <v>647</v>
      </c>
      <c r="B22" s="7" t="s">
        <v>34</v>
      </c>
      <c r="C22" s="7" t="s">
        <v>573</v>
      </c>
      <c r="D22" s="7" t="s">
        <v>648</v>
      </c>
      <c r="E22" s="7" t="s">
        <v>649</v>
      </c>
      <c r="F22" s="7" t="s">
        <v>566</v>
      </c>
      <c r="G22" s="7" t="s">
        <v>650</v>
      </c>
    </row>
    <row r="23" customFormat="false" ht="42.75" hidden="false" customHeight="true" outlineLevel="0" collapsed="false">
      <c r="A23" s="7" t="s">
        <v>651</v>
      </c>
      <c r="B23" s="7" t="s">
        <v>34</v>
      </c>
      <c r="C23" s="7" t="s">
        <v>573</v>
      </c>
      <c r="D23" s="7" t="s">
        <v>652</v>
      </c>
      <c r="E23" s="7" t="s">
        <v>653</v>
      </c>
      <c r="F23" s="7" t="s">
        <v>566</v>
      </c>
      <c r="G23" s="7" t="s">
        <v>654</v>
      </c>
    </row>
    <row r="24" customFormat="false" ht="32.25" hidden="false" customHeight="true" outlineLevel="0" collapsed="false">
      <c r="A24" s="7" t="s">
        <v>655</v>
      </c>
      <c r="B24" s="7" t="s">
        <v>34</v>
      </c>
      <c r="C24" s="7" t="s">
        <v>573</v>
      </c>
      <c r="D24" s="7" t="s">
        <v>656</v>
      </c>
      <c r="E24" s="7" t="s">
        <v>657</v>
      </c>
      <c r="F24" s="7" t="s">
        <v>566</v>
      </c>
      <c r="G24" s="7" t="s">
        <v>658</v>
      </c>
    </row>
    <row r="25" customFormat="false" ht="63.75" hidden="false" customHeight="true" outlineLevel="0" collapsed="false">
      <c r="A25" s="7" t="s">
        <v>659</v>
      </c>
      <c r="B25" s="7" t="s">
        <v>34</v>
      </c>
      <c r="C25" s="7" t="s">
        <v>578</v>
      </c>
      <c r="D25" s="7" t="s">
        <v>660</v>
      </c>
      <c r="E25" s="7" t="s">
        <v>661</v>
      </c>
      <c r="F25" s="7" t="s">
        <v>566</v>
      </c>
      <c r="G25" s="7" t="s">
        <v>662</v>
      </c>
    </row>
    <row r="26" customFormat="false" ht="42.75" hidden="false" customHeight="true" outlineLevel="0" collapsed="false">
      <c r="A26" s="7" t="s">
        <v>663</v>
      </c>
      <c r="B26" s="7" t="s">
        <v>34</v>
      </c>
      <c r="C26" s="7" t="s">
        <v>578</v>
      </c>
      <c r="D26" s="7" t="s">
        <v>664</v>
      </c>
      <c r="E26" s="7" t="s">
        <v>665</v>
      </c>
      <c r="F26" s="7" t="s">
        <v>566</v>
      </c>
      <c r="G26" s="7" t="s">
        <v>666</v>
      </c>
    </row>
    <row r="27" customFormat="false" ht="42.75" hidden="false" customHeight="true" outlineLevel="0" collapsed="false">
      <c r="A27" s="7" t="s">
        <v>667</v>
      </c>
      <c r="B27" s="7" t="s">
        <v>34</v>
      </c>
      <c r="C27" s="7" t="s">
        <v>573</v>
      </c>
      <c r="D27" s="7" t="s">
        <v>668</v>
      </c>
      <c r="E27" s="7" t="s">
        <v>669</v>
      </c>
      <c r="F27" s="7" t="s">
        <v>566</v>
      </c>
      <c r="G27" s="7" t="s">
        <v>670</v>
      </c>
    </row>
    <row r="28" customFormat="false" ht="32.25" hidden="false" customHeight="true" outlineLevel="0" collapsed="false">
      <c r="A28" s="7" t="s">
        <v>671</v>
      </c>
      <c r="B28" s="7" t="s">
        <v>34</v>
      </c>
      <c r="C28" s="7" t="s">
        <v>578</v>
      </c>
      <c r="D28" s="7" t="s">
        <v>672</v>
      </c>
      <c r="E28" s="7" t="s">
        <v>673</v>
      </c>
      <c r="F28" s="7" t="s">
        <v>566</v>
      </c>
      <c r="G28" s="7" t="s">
        <v>674</v>
      </c>
    </row>
    <row r="29" customFormat="false" ht="32.25" hidden="false" customHeight="true" outlineLevel="0" collapsed="false">
      <c r="A29" s="7" t="s">
        <v>675</v>
      </c>
      <c r="B29" s="7" t="s">
        <v>34</v>
      </c>
      <c r="C29" s="7" t="s">
        <v>573</v>
      </c>
      <c r="D29" s="7" t="s">
        <v>676</v>
      </c>
      <c r="E29" s="7" t="s">
        <v>677</v>
      </c>
      <c r="F29" s="7" t="s">
        <v>566</v>
      </c>
      <c r="G29" s="7" t="s">
        <v>678</v>
      </c>
    </row>
    <row r="30" customFormat="false" ht="21.75" hidden="false" customHeight="true" outlineLevel="0" collapsed="false">
      <c r="A30" s="7" t="s">
        <v>679</v>
      </c>
      <c r="B30" s="7" t="s">
        <v>34</v>
      </c>
      <c r="C30" s="7" t="s">
        <v>619</v>
      </c>
      <c r="D30" s="7" t="s">
        <v>680</v>
      </c>
      <c r="E30" s="7" t="s">
        <v>681</v>
      </c>
      <c r="F30" s="7" t="s">
        <v>566</v>
      </c>
      <c r="G30" s="7" t="s">
        <v>682</v>
      </c>
    </row>
    <row r="31" customFormat="false" ht="32.25" hidden="false" customHeight="true" outlineLevel="0" collapsed="false">
      <c r="A31" s="7" t="s">
        <v>683</v>
      </c>
      <c r="B31" s="7" t="s">
        <v>34</v>
      </c>
      <c r="C31" s="7" t="s">
        <v>573</v>
      </c>
      <c r="D31" s="7" t="s">
        <v>684</v>
      </c>
      <c r="E31" s="7" t="s">
        <v>685</v>
      </c>
      <c r="F31" s="7" t="s">
        <v>566</v>
      </c>
      <c r="G31" s="7" t="s">
        <v>686</v>
      </c>
    </row>
    <row r="32" customFormat="false" ht="53.25" hidden="false" customHeight="true" outlineLevel="0" collapsed="false">
      <c r="A32" s="7" t="s">
        <v>687</v>
      </c>
      <c r="B32" s="7" t="s">
        <v>34</v>
      </c>
      <c r="C32" s="7" t="s">
        <v>578</v>
      </c>
      <c r="D32" s="7" t="s">
        <v>688</v>
      </c>
      <c r="E32" s="7" t="s">
        <v>689</v>
      </c>
      <c r="F32" s="7" t="s">
        <v>566</v>
      </c>
      <c r="G32" s="7" t="s">
        <v>690</v>
      </c>
    </row>
    <row r="33" customFormat="false" ht="74.25" hidden="false" customHeight="true" outlineLevel="0" collapsed="false">
      <c r="A33" s="7" t="s">
        <v>691</v>
      </c>
      <c r="B33" s="7" t="s">
        <v>34</v>
      </c>
      <c r="C33" s="7" t="s">
        <v>578</v>
      </c>
      <c r="D33" s="7" t="s">
        <v>692</v>
      </c>
      <c r="E33" s="7" t="s">
        <v>693</v>
      </c>
      <c r="F33" s="7" t="s">
        <v>566</v>
      </c>
      <c r="G33" s="7" t="s">
        <v>694</v>
      </c>
    </row>
    <row r="34" customFormat="false" ht="42.75" hidden="false" customHeight="true" outlineLevel="0" collapsed="false">
      <c r="A34" s="7" t="s">
        <v>695</v>
      </c>
      <c r="B34" s="7" t="s">
        <v>34</v>
      </c>
      <c r="C34" s="7" t="s">
        <v>573</v>
      </c>
      <c r="D34" s="7" t="s">
        <v>696</v>
      </c>
      <c r="E34" s="7" t="s">
        <v>697</v>
      </c>
      <c r="F34" s="7" t="s">
        <v>566</v>
      </c>
      <c r="G34" s="7" t="s">
        <v>698</v>
      </c>
    </row>
    <row r="35" customFormat="false" ht="53.25" hidden="false" customHeight="true" outlineLevel="0" collapsed="false">
      <c r="A35" s="7" t="s">
        <v>699</v>
      </c>
      <c r="B35" s="7" t="s">
        <v>34</v>
      </c>
      <c r="C35" s="7" t="s">
        <v>578</v>
      </c>
      <c r="D35" s="7" t="s">
        <v>700</v>
      </c>
      <c r="E35" s="7" t="s">
        <v>701</v>
      </c>
      <c r="F35" s="7" t="s">
        <v>566</v>
      </c>
      <c r="G35" s="7" t="s">
        <v>702</v>
      </c>
    </row>
    <row r="36" customFormat="false" ht="42.75" hidden="false" customHeight="true" outlineLevel="0" collapsed="false">
      <c r="A36" s="7" t="s">
        <v>703</v>
      </c>
      <c r="B36" s="7" t="s">
        <v>41</v>
      </c>
      <c r="C36" s="7" t="s">
        <v>578</v>
      </c>
      <c r="D36" s="7" t="s">
        <v>704</v>
      </c>
      <c r="E36" s="7" t="s">
        <v>705</v>
      </c>
      <c r="F36" s="7" t="s">
        <v>566</v>
      </c>
      <c r="G36" s="7" t="s">
        <v>706</v>
      </c>
    </row>
    <row r="37" customFormat="false" ht="53.25" hidden="false" customHeight="true" outlineLevel="0" collapsed="false">
      <c r="A37" s="7" t="s">
        <v>707</v>
      </c>
      <c r="B37" s="7" t="s">
        <v>41</v>
      </c>
      <c r="C37" s="7" t="s">
        <v>573</v>
      </c>
      <c r="D37" s="7" t="s">
        <v>708</v>
      </c>
      <c r="E37" s="7" t="s">
        <v>709</v>
      </c>
      <c r="F37" s="7" t="s">
        <v>566</v>
      </c>
      <c r="G37" s="7" t="s">
        <v>710</v>
      </c>
    </row>
    <row r="38" customFormat="false" ht="42.75" hidden="false" customHeight="true" outlineLevel="0" collapsed="false">
      <c r="A38" s="7" t="s">
        <v>711</v>
      </c>
      <c r="B38" s="7" t="s">
        <v>41</v>
      </c>
      <c r="C38" s="7" t="s">
        <v>578</v>
      </c>
      <c r="D38" s="7" t="s">
        <v>712</v>
      </c>
      <c r="E38" s="7" t="s">
        <v>713</v>
      </c>
      <c r="F38" s="7" t="s">
        <v>566</v>
      </c>
      <c r="G38" s="7" t="s">
        <v>714</v>
      </c>
    </row>
    <row r="39" customFormat="false" ht="42.75" hidden="false" customHeight="true" outlineLevel="0" collapsed="false">
      <c r="A39" s="7" t="s">
        <v>715</v>
      </c>
      <c r="B39" s="7" t="s">
        <v>41</v>
      </c>
      <c r="C39" s="7" t="s">
        <v>578</v>
      </c>
      <c r="D39" s="7" t="s">
        <v>716</v>
      </c>
      <c r="E39" s="7" t="s">
        <v>717</v>
      </c>
      <c r="F39" s="7" t="s">
        <v>566</v>
      </c>
      <c r="G39" s="7" t="s">
        <v>718</v>
      </c>
    </row>
    <row r="40" customFormat="false" ht="42.75" hidden="false" customHeight="true" outlineLevel="0" collapsed="false">
      <c r="A40" s="7" t="s">
        <v>719</v>
      </c>
      <c r="B40" s="7" t="s">
        <v>41</v>
      </c>
      <c r="C40" s="7" t="s">
        <v>573</v>
      </c>
      <c r="D40" s="7" t="s">
        <v>720</v>
      </c>
      <c r="E40" s="7" t="s">
        <v>721</v>
      </c>
      <c r="F40" s="7" t="s">
        <v>566</v>
      </c>
      <c r="G40" s="7" t="s">
        <v>722</v>
      </c>
    </row>
    <row r="41" customFormat="false" ht="42.75" hidden="false" customHeight="true" outlineLevel="0" collapsed="false">
      <c r="A41" s="7" t="s">
        <v>723</v>
      </c>
      <c r="B41" s="7" t="s">
        <v>41</v>
      </c>
      <c r="C41" s="7" t="s">
        <v>573</v>
      </c>
      <c r="D41" s="7" t="s">
        <v>724</v>
      </c>
      <c r="E41" s="7" t="s">
        <v>725</v>
      </c>
      <c r="F41" s="7" t="s">
        <v>566</v>
      </c>
      <c r="G41" s="7" t="s">
        <v>726</v>
      </c>
    </row>
    <row r="42" customFormat="false" ht="63.75" hidden="false" customHeight="true" outlineLevel="0" collapsed="false">
      <c r="A42" s="7" t="s">
        <v>727</v>
      </c>
      <c r="B42" s="7" t="s">
        <v>41</v>
      </c>
      <c r="C42" s="7" t="s">
        <v>573</v>
      </c>
      <c r="D42" s="7" t="s">
        <v>728</v>
      </c>
      <c r="E42" s="7" t="s">
        <v>729</v>
      </c>
      <c r="F42" s="7" t="s">
        <v>566</v>
      </c>
      <c r="G42" s="7" t="s">
        <v>730</v>
      </c>
    </row>
    <row r="43" customFormat="false" ht="63.75" hidden="false" customHeight="true" outlineLevel="0" collapsed="false">
      <c r="A43" s="7" t="s">
        <v>731</v>
      </c>
      <c r="B43" s="7" t="s">
        <v>48</v>
      </c>
      <c r="C43" s="7" t="s">
        <v>578</v>
      </c>
      <c r="D43" s="7" t="s">
        <v>732</v>
      </c>
      <c r="E43" s="7" t="s">
        <v>733</v>
      </c>
      <c r="F43" s="7" t="s">
        <v>566</v>
      </c>
      <c r="G43" s="7" t="s">
        <v>734</v>
      </c>
    </row>
    <row r="44" customFormat="false" ht="74.25" hidden="false" customHeight="true" outlineLevel="0" collapsed="false">
      <c r="A44" s="7" t="s">
        <v>735</v>
      </c>
      <c r="B44" s="7" t="s">
        <v>48</v>
      </c>
      <c r="C44" s="7" t="s">
        <v>578</v>
      </c>
      <c r="D44" s="7" t="s">
        <v>736</v>
      </c>
      <c r="E44" s="7" t="s">
        <v>737</v>
      </c>
      <c r="F44" s="7" t="s">
        <v>566</v>
      </c>
      <c r="G44" s="7" t="s">
        <v>738</v>
      </c>
    </row>
    <row r="45" customFormat="false" ht="42.75" hidden="false" customHeight="true" outlineLevel="0" collapsed="false">
      <c r="A45" s="7" t="s">
        <v>739</v>
      </c>
      <c r="B45" s="7" t="s">
        <v>55</v>
      </c>
      <c r="C45" s="7" t="s">
        <v>578</v>
      </c>
      <c r="D45" s="7" t="s">
        <v>740</v>
      </c>
      <c r="E45" s="7" t="s">
        <v>741</v>
      </c>
      <c r="F45" s="7" t="s">
        <v>566</v>
      </c>
      <c r="G45" s="7" t="s">
        <v>742</v>
      </c>
    </row>
    <row r="46" customFormat="false" ht="42.75" hidden="false" customHeight="true" outlineLevel="0" collapsed="false">
      <c r="A46" s="7" t="s">
        <v>743</v>
      </c>
      <c r="B46" s="7" t="s">
        <v>55</v>
      </c>
      <c r="C46" s="7" t="s">
        <v>578</v>
      </c>
      <c r="D46" s="7" t="s">
        <v>744</v>
      </c>
      <c r="E46" s="7" t="s">
        <v>745</v>
      </c>
      <c r="F46" s="7" t="s">
        <v>566</v>
      </c>
      <c r="G46" s="7" t="s">
        <v>746</v>
      </c>
    </row>
    <row r="47" customFormat="false" ht="42.75" hidden="false" customHeight="true" outlineLevel="0" collapsed="false">
      <c r="A47" s="7" t="s">
        <v>747</v>
      </c>
      <c r="B47" s="7" t="s">
        <v>55</v>
      </c>
      <c r="C47" s="7" t="s">
        <v>578</v>
      </c>
      <c r="D47" s="7" t="s">
        <v>748</v>
      </c>
      <c r="E47" s="7" t="s">
        <v>749</v>
      </c>
      <c r="F47" s="7" t="s">
        <v>566</v>
      </c>
      <c r="G47" s="7" t="s">
        <v>750</v>
      </c>
    </row>
    <row r="48" customFormat="false" ht="74.25" hidden="false" customHeight="true" outlineLevel="0" collapsed="false">
      <c r="A48" s="7" t="s">
        <v>751</v>
      </c>
      <c r="B48" s="7" t="s">
        <v>62</v>
      </c>
      <c r="C48" s="7" t="s">
        <v>578</v>
      </c>
      <c r="D48" s="7" t="s">
        <v>752</v>
      </c>
      <c r="E48" s="7" t="s">
        <v>753</v>
      </c>
      <c r="F48" s="7" t="s">
        <v>566</v>
      </c>
      <c r="G48" s="7" t="s">
        <v>754</v>
      </c>
    </row>
    <row r="49" customFormat="false" ht="32.25" hidden="false" customHeight="true" outlineLevel="0" collapsed="false">
      <c r="A49" s="7" t="s">
        <v>755</v>
      </c>
      <c r="B49" s="7" t="s">
        <v>62</v>
      </c>
      <c r="C49" s="7" t="s">
        <v>619</v>
      </c>
      <c r="D49" s="7" t="s">
        <v>756</v>
      </c>
      <c r="E49" s="7" t="s">
        <v>757</v>
      </c>
      <c r="F49" s="7" t="s">
        <v>566</v>
      </c>
      <c r="G49" s="7" t="s">
        <v>758</v>
      </c>
    </row>
    <row r="50" customFormat="false" ht="53.25" hidden="false" customHeight="true" outlineLevel="0" collapsed="false">
      <c r="A50" s="7" t="s">
        <v>759</v>
      </c>
      <c r="B50" s="7" t="s">
        <v>62</v>
      </c>
      <c r="C50" s="7" t="s">
        <v>563</v>
      </c>
      <c r="D50" s="7" t="s">
        <v>760</v>
      </c>
      <c r="E50" s="7" t="s">
        <v>761</v>
      </c>
      <c r="F50" s="7" t="s">
        <v>566</v>
      </c>
      <c r="G50" s="7" t="s">
        <v>762</v>
      </c>
    </row>
    <row r="51" customFormat="false" ht="53.25" hidden="false" customHeight="true" outlineLevel="0" collapsed="false">
      <c r="A51" s="7" t="s">
        <v>763</v>
      </c>
      <c r="B51" s="7" t="s">
        <v>62</v>
      </c>
      <c r="C51" s="7" t="s">
        <v>578</v>
      </c>
      <c r="D51" s="7" t="s">
        <v>764</v>
      </c>
      <c r="E51" s="7" t="s">
        <v>765</v>
      </c>
      <c r="F51" s="7" t="s">
        <v>566</v>
      </c>
      <c r="G51" s="7" t="s">
        <v>766</v>
      </c>
    </row>
    <row r="52" customFormat="false" ht="53.25" hidden="false" customHeight="true" outlineLevel="0" collapsed="false">
      <c r="A52" s="7" t="s">
        <v>767</v>
      </c>
      <c r="B52" s="7" t="s">
        <v>69</v>
      </c>
      <c r="C52" s="7" t="s">
        <v>768</v>
      </c>
      <c r="D52" s="7" t="s">
        <v>769</v>
      </c>
      <c r="E52" s="7" t="s">
        <v>770</v>
      </c>
      <c r="F52" s="7" t="s">
        <v>566</v>
      </c>
      <c r="G52" s="7" t="s">
        <v>771</v>
      </c>
    </row>
    <row r="53" customFormat="false" ht="95.25" hidden="false" customHeight="true" outlineLevel="0" collapsed="false">
      <c r="A53" s="7" t="s">
        <v>772</v>
      </c>
      <c r="B53" s="7" t="s">
        <v>69</v>
      </c>
      <c r="C53" s="7" t="s">
        <v>573</v>
      </c>
      <c r="D53" s="7" t="s">
        <v>773</v>
      </c>
      <c r="E53" s="7" t="s">
        <v>774</v>
      </c>
      <c r="F53" s="7" t="s">
        <v>566</v>
      </c>
      <c r="G53" s="7" t="s">
        <v>775</v>
      </c>
    </row>
    <row r="54" customFormat="false" ht="53.25" hidden="false" customHeight="true" outlineLevel="0" collapsed="false">
      <c r="A54" s="7" t="s">
        <v>776</v>
      </c>
      <c r="B54" s="7" t="s">
        <v>69</v>
      </c>
      <c r="C54" s="7" t="s">
        <v>768</v>
      </c>
      <c r="D54" s="7" t="s">
        <v>777</v>
      </c>
      <c r="E54" s="7" t="s">
        <v>778</v>
      </c>
      <c r="F54" s="7" t="s">
        <v>566</v>
      </c>
      <c r="G54" s="7" t="s">
        <v>779</v>
      </c>
    </row>
    <row r="55" customFormat="false" ht="63.75" hidden="false" customHeight="true" outlineLevel="0" collapsed="false">
      <c r="A55" s="7" t="s">
        <v>780</v>
      </c>
      <c r="B55" s="7" t="s">
        <v>69</v>
      </c>
      <c r="C55" s="7" t="s">
        <v>573</v>
      </c>
      <c r="D55" s="7" t="s">
        <v>781</v>
      </c>
      <c r="E55" s="7" t="s">
        <v>782</v>
      </c>
      <c r="F55" s="7" t="s">
        <v>566</v>
      </c>
      <c r="G55" s="7" t="s">
        <v>783</v>
      </c>
    </row>
    <row r="56" customFormat="false" ht="53.25" hidden="false" customHeight="true" outlineLevel="0" collapsed="false">
      <c r="A56" s="7" t="s">
        <v>784</v>
      </c>
      <c r="B56" s="7" t="s">
        <v>75</v>
      </c>
      <c r="C56" s="7" t="s">
        <v>578</v>
      </c>
      <c r="D56" s="7" t="s">
        <v>785</v>
      </c>
      <c r="E56" s="7" t="s">
        <v>786</v>
      </c>
      <c r="F56" s="7" t="s">
        <v>566</v>
      </c>
      <c r="G56" s="7" t="s">
        <v>787</v>
      </c>
    </row>
    <row r="57" customFormat="false" ht="32.25" hidden="false" customHeight="true" outlineLevel="0" collapsed="false">
      <c r="A57" s="7" t="s">
        <v>788</v>
      </c>
      <c r="B57" s="7" t="s">
        <v>75</v>
      </c>
      <c r="C57" s="7" t="s">
        <v>578</v>
      </c>
      <c r="D57" s="7" t="s">
        <v>789</v>
      </c>
      <c r="E57" s="7" t="s">
        <v>790</v>
      </c>
      <c r="F57" s="7" t="s">
        <v>566</v>
      </c>
      <c r="G57" s="7" t="s">
        <v>791</v>
      </c>
    </row>
    <row r="58" customFormat="false" ht="53.25" hidden="false" customHeight="true" outlineLevel="0" collapsed="false">
      <c r="A58" s="7" t="s">
        <v>792</v>
      </c>
      <c r="B58" s="7" t="s">
        <v>75</v>
      </c>
      <c r="C58" s="7" t="s">
        <v>573</v>
      </c>
      <c r="D58" s="7" t="s">
        <v>793</v>
      </c>
      <c r="E58" s="7" t="s">
        <v>794</v>
      </c>
      <c r="F58" s="7" t="s">
        <v>566</v>
      </c>
      <c r="G58" s="7" t="s">
        <v>795</v>
      </c>
    </row>
    <row r="59" customFormat="false" ht="42.75" hidden="false" customHeight="true" outlineLevel="0" collapsed="false">
      <c r="A59" s="7" t="s">
        <v>796</v>
      </c>
      <c r="B59" s="7" t="s">
        <v>75</v>
      </c>
      <c r="C59" s="7" t="s">
        <v>573</v>
      </c>
      <c r="D59" s="7" t="s">
        <v>797</v>
      </c>
      <c r="E59" s="7" t="s">
        <v>798</v>
      </c>
      <c r="F59" s="7" t="s">
        <v>566</v>
      </c>
      <c r="G59" s="7" t="s">
        <v>799</v>
      </c>
    </row>
    <row r="60" customFormat="false" ht="63.75" hidden="false" customHeight="true" outlineLevel="0" collapsed="false">
      <c r="A60" s="7" t="s">
        <v>800</v>
      </c>
      <c r="B60" s="7" t="s">
        <v>75</v>
      </c>
      <c r="C60" s="7" t="s">
        <v>573</v>
      </c>
      <c r="D60" s="7" t="s">
        <v>801</v>
      </c>
      <c r="E60" s="7" t="s">
        <v>802</v>
      </c>
      <c r="F60" s="7" t="s">
        <v>566</v>
      </c>
      <c r="G60" s="7" t="s">
        <v>803</v>
      </c>
    </row>
    <row r="61" customFormat="false" ht="53.25" hidden="false" customHeight="true" outlineLevel="0" collapsed="false">
      <c r="A61" s="7" t="s">
        <v>804</v>
      </c>
      <c r="B61" s="7" t="s">
        <v>75</v>
      </c>
      <c r="C61" s="7" t="s">
        <v>578</v>
      </c>
      <c r="D61" s="7" t="s">
        <v>805</v>
      </c>
      <c r="E61" s="7" t="s">
        <v>806</v>
      </c>
      <c r="F61" s="7" t="s">
        <v>566</v>
      </c>
      <c r="G61" s="7" t="s">
        <v>807</v>
      </c>
    </row>
    <row r="62" customFormat="false" ht="32.25" hidden="false" customHeight="true" outlineLevel="0" collapsed="false">
      <c r="A62" s="7" t="s">
        <v>808</v>
      </c>
      <c r="B62" s="7" t="s">
        <v>75</v>
      </c>
      <c r="C62" s="7" t="s">
        <v>578</v>
      </c>
      <c r="D62" s="7" t="s">
        <v>809</v>
      </c>
      <c r="E62" s="7" t="s">
        <v>810</v>
      </c>
      <c r="F62" s="7" t="s">
        <v>566</v>
      </c>
      <c r="G62" s="7" t="s">
        <v>811</v>
      </c>
    </row>
    <row r="63" customFormat="false" ht="126.75" hidden="false" customHeight="true" outlineLevel="0" collapsed="false">
      <c r="A63" s="7" t="s">
        <v>812</v>
      </c>
      <c r="B63" s="7" t="s">
        <v>75</v>
      </c>
      <c r="C63" s="7" t="s">
        <v>563</v>
      </c>
      <c r="D63" s="7" t="s">
        <v>813</v>
      </c>
      <c r="E63" s="7" t="s">
        <v>814</v>
      </c>
      <c r="F63" s="7" t="s">
        <v>566</v>
      </c>
      <c r="G63" s="7" t="s">
        <v>815</v>
      </c>
    </row>
    <row r="64" customFormat="false" ht="53.25" hidden="false" customHeight="true" outlineLevel="0" collapsed="false">
      <c r="A64" s="7" t="s">
        <v>816</v>
      </c>
      <c r="B64" s="7" t="s">
        <v>81</v>
      </c>
      <c r="C64" s="7" t="s">
        <v>563</v>
      </c>
      <c r="D64" s="7" t="s">
        <v>817</v>
      </c>
      <c r="E64" s="7" t="s">
        <v>818</v>
      </c>
      <c r="F64" s="7" t="s">
        <v>566</v>
      </c>
      <c r="G64" s="7" t="s">
        <v>819</v>
      </c>
    </row>
    <row r="65" customFormat="false" ht="53.25" hidden="false" customHeight="true" outlineLevel="0" collapsed="false">
      <c r="A65" s="7" t="s">
        <v>820</v>
      </c>
      <c r="B65" s="7" t="s">
        <v>81</v>
      </c>
      <c r="C65" s="7" t="s">
        <v>563</v>
      </c>
      <c r="D65" s="7" t="s">
        <v>821</v>
      </c>
      <c r="E65" s="7" t="s">
        <v>822</v>
      </c>
      <c r="F65" s="7" t="s">
        <v>566</v>
      </c>
      <c r="G65" s="7" t="s">
        <v>823</v>
      </c>
    </row>
    <row r="66" customFormat="false" ht="32.25" hidden="false" customHeight="true" outlineLevel="0" collapsed="false">
      <c r="A66" s="7" t="s">
        <v>824</v>
      </c>
      <c r="B66" s="7" t="s">
        <v>81</v>
      </c>
      <c r="C66" s="7" t="s">
        <v>573</v>
      </c>
      <c r="D66" s="7" t="s">
        <v>825</v>
      </c>
      <c r="E66" s="7" t="s">
        <v>826</v>
      </c>
      <c r="F66" s="7" t="s">
        <v>566</v>
      </c>
      <c r="G66" s="7" t="s">
        <v>827</v>
      </c>
    </row>
    <row r="67" customFormat="false" ht="42.75" hidden="false" customHeight="true" outlineLevel="0" collapsed="false">
      <c r="A67" s="7" t="s">
        <v>828</v>
      </c>
      <c r="B67" s="7" t="s">
        <v>81</v>
      </c>
      <c r="C67" s="7" t="s">
        <v>578</v>
      </c>
      <c r="D67" s="7" t="s">
        <v>829</v>
      </c>
      <c r="E67" s="7" t="s">
        <v>830</v>
      </c>
      <c r="F67" s="7" t="s">
        <v>566</v>
      </c>
      <c r="G67" s="7" t="s">
        <v>831</v>
      </c>
    </row>
    <row r="68" customFormat="false" ht="42.75" hidden="false" customHeight="true" outlineLevel="0" collapsed="false">
      <c r="A68" s="7" t="s">
        <v>832</v>
      </c>
      <c r="B68" s="7" t="s">
        <v>81</v>
      </c>
      <c r="C68" s="7" t="s">
        <v>573</v>
      </c>
      <c r="D68" s="7" t="s">
        <v>833</v>
      </c>
      <c r="E68" s="7" t="s">
        <v>834</v>
      </c>
      <c r="F68" s="7" t="s">
        <v>566</v>
      </c>
      <c r="G68" s="7" t="s">
        <v>835</v>
      </c>
    </row>
    <row r="69" customFormat="false" ht="116.25" hidden="false" customHeight="true" outlineLevel="0" collapsed="false">
      <c r="A69" s="7" t="s">
        <v>836</v>
      </c>
      <c r="B69" s="7" t="s">
        <v>81</v>
      </c>
      <c r="C69" s="7" t="s">
        <v>578</v>
      </c>
      <c r="D69" s="7" t="s">
        <v>837</v>
      </c>
      <c r="E69" s="7" t="s">
        <v>838</v>
      </c>
      <c r="F69" s="7" t="s">
        <v>566</v>
      </c>
      <c r="G69" s="7" t="s">
        <v>839</v>
      </c>
    </row>
    <row r="70" customFormat="false" ht="42.75" hidden="false" customHeight="true" outlineLevel="0" collapsed="false">
      <c r="A70" s="7" t="s">
        <v>840</v>
      </c>
      <c r="B70" s="7" t="s">
        <v>86</v>
      </c>
      <c r="C70" s="7" t="s">
        <v>578</v>
      </c>
      <c r="D70" s="7" t="s">
        <v>841</v>
      </c>
      <c r="E70" s="7" t="s">
        <v>842</v>
      </c>
      <c r="F70" s="7" t="s">
        <v>566</v>
      </c>
      <c r="G70" s="7" t="s">
        <v>843</v>
      </c>
    </row>
    <row r="71" customFormat="false" ht="210" hidden="false" customHeight="true" outlineLevel="0" collapsed="false">
      <c r="A71" s="7" t="s">
        <v>844</v>
      </c>
      <c r="B71" s="7" t="s">
        <v>86</v>
      </c>
      <c r="C71" s="7" t="s">
        <v>578</v>
      </c>
      <c r="D71" s="7" t="s">
        <v>845</v>
      </c>
      <c r="E71" s="7" t="s">
        <v>846</v>
      </c>
      <c r="F71" s="7" t="s">
        <v>566</v>
      </c>
      <c r="G71" s="7" t="s">
        <v>847</v>
      </c>
    </row>
    <row r="72" customFormat="false" ht="53.25" hidden="false" customHeight="true" outlineLevel="0" collapsed="false">
      <c r="A72" s="7" t="s">
        <v>848</v>
      </c>
      <c r="B72" s="7" t="s">
        <v>86</v>
      </c>
      <c r="C72" s="7" t="s">
        <v>578</v>
      </c>
      <c r="D72" s="7" t="s">
        <v>849</v>
      </c>
      <c r="E72" s="7" t="s">
        <v>850</v>
      </c>
      <c r="F72" s="7" t="s">
        <v>566</v>
      </c>
      <c r="G72" s="7" t="s">
        <v>851</v>
      </c>
    </row>
    <row r="73" customFormat="false" ht="42.75" hidden="false" customHeight="true" outlineLevel="0" collapsed="false">
      <c r="A73" s="7" t="s">
        <v>852</v>
      </c>
      <c r="B73" s="7" t="s">
        <v>93</v>
      </c>
      <c r="C73" s="7" t="s">
        <v>768</v>
      </c>
      <c r="D73" s="7" t="s">
        <v>853</v>
      </c>
      <c r="E73" s="7" t="s">
        <v>854</v>
      </c>
      <c r="F73" s="7" t="s">
        <v>566</v>
      </c>
      <c r="G73" s="7" t="s">
        <v>855</v>
      </c>
    </row>
    <row r="74" customFormat="false" ht="53.25" hidden="false" customHeight="true" outlineLevel="0" collapsed="false">
      <c r="A74" s="7" t="s">
        <v>856</v>
      </c>
      <c r="B74" s="7" t="s">
        <v>93</v>
      </c>
      <c r="C74" s="7" t="s">
        <v>768</v>
      </c>
      <c r="D74" s="7" t="s">
        <v>857</v>
      </c>
      <c r="E74" s="7" t="s">
        <v>858</v>
      </c>
      <c r="F74" s="7" t="s">
        <v>566</v>
      </c>
      <c r="G74" s="7" t="s">
        <v>859</v>
      </c>
    </row>
    <row r="75" customFormat="false" ht="95.25" hidden="false" customHeight="true" outlineLevel="0" collapsed="false">
      <c r="A75" s="7" t="s">
        <v>860</v>
      </c>
      <c r="B75" s="7" t="s">
        <v>93</v>
      </c>
      <c r="C75" s="7" t="s">
        <v>768</v>
      </c>
      <c r="D75" s="7" t="s">
        <v>861</v>
      </c>
      <c r="E75" s="7" t="s">
        <v>862</v>
      </c>
      <c r="F75" s="7" t="s">
        <v>566</v>
      </c>
      <c r="G75" s="7" t="s">
        <v>863</v>
      </c>
    </row>
    <row r="76" customFormat="false" ht="63.75" hidden="false" customHeight="true" outlineLevel="0" collapsed="false">
      <c r="A76" s="7" t="s">
        <v>864</v>
      </c>
      <c r="B76" s="7" t="s">
        <v>93</v>
      </c>
      <c r="C76" s="7" t="s">
        <v>768</v>
      </c>
      <c r="D76" s="7" t="s">
        <v>865</v>
      </c>
      <c r="E76" s="7" t="s">
        <v>866</v>
      </c>
      <c r="F76" s="7" t="s">
        <v>566</v>
      </c>
      <c r="G76" s="7" t="s">
        <v>867</v>
      </c>
    </row>
    <row r="77" customFormat="false" ht="42.75" hidden="false" customHeight="true" outlineLevel="0" collapsed="false">
      <c r="A77" s="7" t="s">
        <v>868</v>
      </c>
      <c r="B77" s="7" t="s">
        <v>93</v>
      </c>
      <c r="C77" s="7" t="s">
        <v>573</v>
      </c>
      <c r="D77" s="7" t="s">
        <v>869</v>
      </c>
      <c r="E77" s="7" t="s">
        <v>870</v>
      </c>
      <c r="F77" s="7" t="s">
        <v>566</v>
      </c>
      <c r="G77" s="7" t="s">
        <v>871</v>
      </c>
    </row>
    <row r="78" customFormat="false" ht="32.25" hidden="false" customHeight="true" outlineLevel="0" collapsed="false">
      <c r="A78" s="7" t="s">
        <v>872</v>
      </c>
      <c r="B78" s="7" t="s">
        <v>93</v>
      </c>
      <c r="C78" s="7" t="s">
        <v>578</v>
      </c>
      <c r="D78" s="7" t="s">
        <v>873</v>
      </c>
      <c r="E78" s="7" t="s">
        <v>874</v>
      </c>
      <c r="F78" s="7" t="s">
        <v>566</v>
      </c>
      <c r="G78" s="7" t="s">
        <v>875</v>
      </c>
    </row>
    <row r="79" customFormat="false" ht="42.75" hidden="false" customHeight="true" outlineLevel="0" collapsed="false">
      <c r="A79" s="7" t="s">
        <v>876</v>
      </c>
      <c r="B79" s="7" t="s">
        <v>93</v>
      </c>
      <c r="C79" s="7" t="s">
        <v>573</v>
      </c>
      <c r="D79" s="7" t="s">
        <v>877</v>
      </c>
      <c r="E79" s="7" t="s">
        <v>878</v>
      </c>
      <c r="F79" s="7" t="s">
        <v>566</v>
      </c>
      <c r="G79" s="7" t="s">
        <v>879</v>
      </c>
    </row>
    <row r="80" customFormat="false" ht="42.75" hidden="false" customHeight="true" outlineLevel="0" collapsed="false">
      <c r="A80" s="7" t="s">
        <v>880</v>
      </c>
      <c r="B80" s="7" t="s">
        <v>99</v>
      </c>
      <c r="C80" s="7" t="s">
        <v>573</v>
      </c>
      <c r="D80" s="7" t="s">
        <v>881</v>
      </c>
      <c r="E80" s="7" t="s">
        <v>882</v>
      </c>
      <c r="F80" s="7" t="s">
        <v>566</v>
      </c>
      <c r="G80" s="7" t="s">
        <v>883</v>
      </c>
    </row>
    <row r="81" customFormat="false" ht="32.25" hidden="false" customHeight="true" outlineLevel="0" collapsed="false">
      <c r="A81" s="7" t="s">
        <v>884</v>
      </c>
      <c r="B81" s="7" t="s">
        <v>99</v>
      </c>
      <c r="C81" s="7" t="s">
        <v>619</v>
      </c>
      <c r="D81" s="7" t="s">
        <v>885</v>
      </c>
      <c r="E81" s="7" t="s">
        <v>886</v>
      </c>
      <c r="F81" s="7" t="s">
        <v>566</v>
      </c>
      <c r="G81" s="7" t="s">
        <v>887</v>
      </c>
    </row>
    <row r="82" customFormat="false" ht="42.75" hidden="false" customHeight="true" outlineLevel="0" collapsed="false">
      <c r="A82" s="7" t="s">
        <v>888</v>
      </c>
      <c r="B82" s="7" t="s">
        <v>99</v>
      </c>
      <c r="C82" s="7" t="s">
        <v>578</v>
      </c>
      <c r="D82" s="7" t="s">
        <v>889</v>
      </c>
      <c r="E82" s="7" t="s">
        <v>890</v>
      </c>
      <c r="F82" s="7" t="s">
        <v>566</v>
      </c>
      <c r="G82" s="7" t="s">
        <v>891</v>
      </c>
    </row>
    <row r="83" customFormat="false" ht="42.75" hidden="false" customHeight="true" outlineLevel="0" collapsed="false">
      <c r="A83" s="7" t="s">
        <v>892</v>
      </c>
      <c r="B83" s="7" t="s">
        <v>99</v>
      </c>
      <c r="C83" s="7" t="s">
        <v>573</v>
      </c>
      <c r="D83" s="7" t="s">
        <v>893</v>
      </c>
      <c r="E83" s="7" t="s">
        <v>894</v>
      </c>
      <c r="F83" s="7" t="s">
        <v>566</v>
      </c>
      <c r="G83" s="7" t="s">
        <v>895</v>
      </c>
    </row>
    <row r="84" customFormat="false" ht="84.75" hidden="false" customHeight="true" outlineLevel="0" collapsed="false">
      <c r="A84" s="7" t="s">
        <v>896</v>
      </c>
      <c r="B84" s="7" t="s">
        <v>99</v>
      </c>
      <c r="C84" s="7" t="s">
        <v>578</v>
      </c>
      <c r="D84" s="7" t="s">
        <v>897</v>
      </c>
      <c r="E84" s="7" t="s">
        <v>898</v>
      </c>
      <c r="F84" s="7" t="s">
        <v>566</v>
      </c>
      <c r="G84" s="7" t="s">
        <v>899</v>
      </c>
    </row>
    <row r="85" customFormat="false" ht="42.75" hidden="false" customHeight="true" outlineLevel="0" collapsed="false">
      <c r="A85" s="7" t="s">
        <v>900</v>
      </c>
      <c r="B85" s="7" t="s">
        <v>106</v>
      </c>
      <c r="C85" s="7" t="s">
        <v>573</v>
      </c>
      <c r="D85" s="7" t="s">
        <v>901</v>
      </c>
      <c r="E85" s="7" t="s">
        <v>902</v>
      </c>
      <c r="F85" s="7" t="s">
        <v>566</v>
      </c>
      <c r="G85" s="7" t="s">
        <v>903</v>
      </c>
    </row>
    <row r="86" customFormat="false" ht="53.25" hidden="false" customHeight="true" outlineLevel="0" collapsed="false">
      <c r="A86" s="7" t="s">
        <v>904</v>
      </c>
      <c r="B86" s="7" t="s">
        <v>106</v>
      </c>
      <c r="C86" s="7" t="s">
        <v>768</v>
      </c>
      <c r="D86" s="7" t="s">
        <v>905</v>
      </c>
      <c r="E86" s="7" t="s">
        <v>906</v>
      </c>
      <c r="F86" s="7" t="s">
        <v>566</v>
      </c>
      <c r="G86" s="7" t="s">
        <v>907</v>
      </c>
    </row>
    <row r="87" customFormat="false" ht="21.75" hidden="false" customHeight="true" outlineLevel="0" collapsed="false">
      <c r="A87" s="7" t="s">
        <v>908</v>
      </c>
      <c r="B87" s="7" t="s">
        <v>106</v>
      </c>
      <c r="C87" s="7" t="s">
        <v>573</v>
      </c>
      <c r="D87" s="7" t="s">
        <v>909</v>
      </c>
      <c r="E87" s="7" t="s">
        <v>910</v>
      </c>
      <c r="F87" s="7" t="s">
        <v>566</v>
      </c>
      <c r="G87" s="7" t="s">
        <v>911</v>
      </c>
    </row>
    <row r="88" customFormat="false" ht="32.25" hidden="false" customHeight="true" outlineLevel="0" collapsed="false">
      <c r="A88" s="7" t="s">
        <v>912</v>
      </c>
      <c r="B88" s="7" t="s">
        <v>106</v>
      </c>
      <c r="C88" s="7" t="s">
        <v>573</v>
      </c>
      <c r="D88" s="7" t="s">
        <v>913</v>
      </c>
      <c r="E88" s="7" t="s">
        <v>914</v>
      </c>
      <c r="F88" s="7" t="s">
        <v>566</v>
      </c>
      <c r="G88" s="7" t="s">
        <v>915</v>
      </c>
    </row>
    <row r="89" customFormat="false" ht="32.25" hidden="false" customHeight="true" outlineLevel="0" collapsed="false">
      <c r="A89" s="7" t="s">
        <v>916</v>
      </c>
      <c r="B89" s="7" t="s">
        <v>110</v>
      </c>
      <c r="C89" s="7" t="s">
        <v>573</v>
      </c>
      <c r="D89" s="7" t="s">
        <v>917</v>
      </c>
      <c r="E89" s="7" t="s">
        <v>918</v>
      </c>
      <c r="F89" s="7" t="s">
        <v>566</v>
      </c>
      <c r="G89" s="7" t="s">
        <v>919</v>
      </c>
    </row>
    <row r="90" customFormat="false" ht="42.75" hidden="false" customHeight="true" outlineLevel="0" collapsed="false">
      <c r="A90" s="7" t="s">
        <v>920</v>
      </c>
      <c r="B90" s="7" t="s">
        <v>110</v>
      </c>
      <c r="C90" s="7" t="s">
        <v>573</v>
      </c>
      <c r="D90" s="7" t="s">
        <v>921</v>
      </c>
      <c r="E90" s="7" t="s">
        <v>922</v>
      </c>
      <c r="F90" s="7" t="s">
        <v>566</v>
      </c>
      <c r="G90" s="7" t="s">
        <v>923</v>
      </c>
    </row>
    <row r="91" customFormat="false" ht="53.25" hidden="false" customHeight="true" outlineLevel="0" collapsed="false">
      <c r="A91" s="7" t="s">
        <v>924</v>
      </c>
      <c r="B91" s="7" t="s">
        <v>110</v>
      </c>
      <c r="C91" s="7" t="s">
        <v>578</v>
      </c>
      <c r="D91" s="7" t="s">
        <v>925</v>
      </c>
      <c r="E91" s="7" t="s">
        <v>926</v>
      </c>
      <c r="F91" s="7" t="s">
        <v>566</v>
      </c>
      <c r="G91" s="7" t="s">
        <v>927</v>
      </c>
    </row>
    <row r="92" customFormat="false" ht="32.25" hidden="false" customHeight="true" outlineLevel="0" collapsed="false">
      <c r="A92" s="7" t="s">
        <v>928</v>
      </c>
      <c r="B92" s="7" t="s">
        <v>110</v>
      </c>
      <c r="C92" s="7" t="s">
        <v>573</v>
      </c>
      <c r="D92" s="7" t="s">
        <v>929</v>
      </c>
      <c r="E92" s="7" t="s">
        <v>930</v>
      </c>
      <c r="F92" s="7" t="s">
        <v>566</v>
      </c>
      <c r="G92" s="7" t="s">
        <v>931</v>
      </c>
    </row>
    <row r="93" customFormat="false" ht="178.5" hidden="false" customHeight="true" outlineLevel="0" collapsed="false">
      <c r="A93" s="7" t="s">
        <v>932</v>
      </c>
      <c r="B93" s="7" t="s">
        <v>110</v>
      </c>
      <c r="C93" s="7" t="s">
        <v>573</v>
      </c>
      <c r="D93" s="7" t="s">
        <v>933</v>
      </c>
      <c r="E93" s="7" t="s">
        <v>934</v>
      </c>
      <c r="F93" s="7" t="s">
        <v>566</v>
      </c>
      <c r="G93" s="7" t="s">
        <v>935</v>
      </c>
    </row>
    <row r="94" customFormat="false" ht="42.75" hidden="false" customHeight="true" outlineLevel="0" collapsed="false">
      <c r="A94" s="7" t="s">
        <v>936</v>
      </c>
      <c r="B94" s="7" t="s">
        <v>114</v>
      </c>
      <c r="C94" s="7" t="s">
        <v>578</v>
      </c>
      <c r="D94" s="7" t="s">
        <v>937</v>
      </c>
      <c r="E94" s="7" t="s">
        <v>938</v>
      </c>
      <c r="F94" s="7" t="s">
        <v>566</v>
      </c>
      <c r="G94" s="7" t="s">
        <v>939</v>
      </c>
    </row>
    <row r="95" customFormat="false" ht="53.25" hidden="false" customHeight="true" outlineLevel="0" collapsed="false">
      <c r="A95" s="7" t="s">
        <v>940</v>
      </c>
      <c r="B95" s="7" t="s">
        <v>114</v>
      </c>
      <c r="C95" s="7" t="s">
        <v>573</v>
      </c>
      <c r="D95" s="7" t="s">
        <v>941</v>
      </c>
      <c r="E95" s="7" t="s">
        <v>942</v>
      </c>
      <c r="F95" s="7" t="s">
        <v>566</v>
      </c>
      <c r="G95" s="7" t="s">
        <v>943</v>
      </c>
    </row>
    <row r="96" customFormat="false" ht="95.25" hidden="false" customHeight="true" outlineLevel="0" collapsed="false">
      <c r="A96" s="7" t="s">
        <v>944</v>
      </c>
      <c r="B96" s="7" t="s">
        <v>114</v>
      </c>
      <c r="C96" s="7" t="s">
        <v>578</v>
      </c>
      <c r="D96" s="7" t="s">
        <v>945</v>
      </c>
      <c r="E96" s="7" t="s">
        <v>946</v>
      </c>
      <c r="F96" s="7" t="s">
        <v>566</v>
      </c>
      <c r="G96" s="7" t="s">
        <v>947</v>
      </c>
    </row>
    <row r="97" customFormat="false" ht="63.75" hidden="false" customHeight="true" outlineLevel="0" collapsed="false">
      <c r="A97" s="7" t="s">
        <v>948</v>
      </c>
      <c r="B97" s="7" t="s">
        <v>119</v>
      </c>
      <c r="C97" s="7" t="s">
        <v>768</v>
      </c>
      <c r="D97" s="7" t="s">
        <v>949</v>
      </c>
      <c r="E97" s="7" t="s">
        <v>950</v>
      </c>
      <c r="F97" s="7" t="s">
        <v>566</v>
      </c>
      <c r="G97" s="7" t="s">
        <v>951</v>
      </c>
    </row>
    <row r="98" customFormat="false" ht="53.25" hidden="false" customHeight="true" outlineLevel="0" collapsed="false">
      <c r="A98" s="7" t="s">
        <v>952</v>
      </c>
      <c r="B98" s="7" t="s">
        <v>119</v>
      </c>
      <c r="C98" s="7" t="s">
        <v>768</v>
      </c>
      <c r="D98" s="7" t="s">
        <v>953</v>
      </c>
      <c r="E98" s="7" t="s">
        <v>954</v>
      </c>
      <c r="F98" s="7" t="s">
        <v>566</v>
      </c>
      <c r="G98" s="7" t="s">
        <v>955</v>
      </c>
    </row>
    <row r="99" customFormat="false" ht="53.25" hidden="false" customHeight="true" outlineLevel="0" collapsed="false">
      <c r="A99" s="7" t="s">
        <v>956</v>
      </c>
      <c r="B99" s="7" t="s">
        <v>119</v>
      </c>
      <c r="C99" s="7" t="s">
        <v>573</v>
      </c>
      <c r="D99" s="7" t="s">
        <v>957</v>
      </c>
      <c r="E99" s="7" t="s">
        <v>958</v>
      </c>
      <c r="F99" s="7" t="s">
        <v>566</v>
      </c>
      <c r="G99" s="7" t="s">
        <v>959</v>
      </c>
    </row>
    <row r="100" customFormat="false" ht="53.25" hidden="false" customHeight="true" outlineLevel="0" collapsed="false">
      <c r="A100" s="7" t="s">
        <v>960</v>
      </c>
      <c r="B100" s="7" t="s">
        <v>119</v>
      </c>
      <c r="C100" s="7" t="s">
        <v>578</v>
      </c>
      <c r="D100" s="7" t="s">
        <v>961</v>
      </c>
      <c r="E100" s="7" t="s">
        <v>962</v>
      </c>
      <c r="F100" s="7" t="s">
        <v>566</v>
      </c>
      <c r="G100" s="7" t="s">
        <v>963</v>
      </c>
    </row>
    <row r="101" customFormat="false" ht="42.75" hidden="false" customHeight="true" outlineLevel="0" collapsed="false">
      <c r="A101" s="7" t="s">
        <v>964</v>
      </c>
      <c r="B101" s="7" t="s">
        <v>119</v>
      </c>
      <c r="C101" s="7" t="s">
        <v>768</v>
      </c>
      <c r="D101" s="7" t="s">
        <v>965</v>
      </c>
      <c r="E101" s="7" t="s">
        <v>966</v>
      </c>
      <c r="F101" s="7" t="s">
        <v>566</v>
      </c>
      <c r="G101" s="7" t="s">
        <v>967</v>
      </c>
    </row>
    <row r="102" customFormat="false" ht="32.25" hidden="false" customHeight="true" outlineLevel="0" collapsed="false">
      <c r="A102" s="7" t="s">
        <v>968</v>
      </c>
      <c r="B102" s="7" t="s">
        <v>119</v>
      </c>
      <c r="C102" s="7" t="s">
        <v>563</v>
      </c>
      <c r="D102" s="7" t="s">
        <v>969</v>
      </c>
      <c r="E102" s="7" t="s">
        <v>970</v>
      </c>
      <c r="F102" s="7" t="s">
        <v>566</v>
      </c>
      <c r="G102" s="7" t="s">
        <v>971</v>
      </c>
    </row>
    <row r="103" customFormat="false" ht="63.75" hidden="false" customHeight="true" outlineLevel="0" collapsed="false">
      <c r="A103" s="7" t="s">
        <v>972</v>
      </c>
      <c r="B103" s="7" t="s">
        <v>119</v>
      </c>
      <c r="C103" s="7" t="s">
        <v>619</v>
      </c>
      <c r="D103" s="7" t="s">
        <v>973</v>
      </c>
      <c r="E103" s="7" t="s">
        <v>974</v>
      </c>
      <c r="F103" s="7" t="s">
        <v>566</v>
      </c>
      <c r="G103" s="7" t="s">
        <v>975</v>
      </c>
    </row>
    <row r="104" customFormat="false" ht="168" hidden="false" customHeight="true" outlineLevel="0" collapsed="false">
      <c r="A104" s="7" t="s">
        <v>976</v>
      </c>
      <c r="B104" s="7" t="s">
        <v>119</v>
      </c>
      <c r="C104" s="7" t="s">
        <v>768</v>
      </c>
      <c r="D104" s="7" t="s">
        <v>977</v>
      </c>
      <c r="E104" s="7" t="s">
        <v>978</v>
      </c>
      <c r="F104" s="7" t="s">
        <v>566</v>
      </c>
      <c r="G104" s="7" t="s">
        <v>979</v>
      </c>
    </row>
    <row r="105" customFormat="false" ht="63.75" hidden="false" customHeight="true" outlineLevel="0" collapsed="false">
      <c r="A105" s="7" t="s">
        <v>980</v>
      </c>
      <c r="B105" s="7" t="s">
        <v>123</v>
      </c>
      <c r="C105" s="7" t="s">
        <v>578</v>
      </c>
      <c r="D105" s="7" t="s">
        <v>981</v>
      </c>
      <c r="E105" s="7" t="s">
        <v>982</v>
      </c>
      <c r="F105" s="7" t="s">
        <v>566</v>
      </c>
      <c r="G105" s="7" t="s">
        <v>983</v>
      </c>
    </row>
    <row r="106" customFormat="false" ht="95.25" hidden="false" customHeight="true" outlineLevel="0" collapsed="false">
      <c r="A106" s="7" t="s">
        <v>984</v>
      </c>
      <c r="B106" s="7" t="s">
        <v>123</v>
      </c>
      <c r="C106" s="7" t="s">
        <v>578</v>
      </c>
      <c r="D106" s="7" t="s">
        <v>985</v>
      </c>
      <c r="E106" s="7" t="s">
        <v>986</v>
      </c>
      <c r="F106" s="7" t="s">
        <v>566</v>
      </c>
      <c r="G106" s="7" t="s">
        <v>987</v>
      </c>
    </row>
    <row r="107" customFormat="false" ht="84.75" hidden="false" customHeight="true" outlineLevel="0" collapsed="false">
      <c r="A107" s="7" t="s">
        <v>988</v>
      </c>
      <c r="B107" s="7" t="s">
        <v>128</v>
      </c>
      <c r="C107" s="7" t="s">
        <v>578</v>
      </c>
      <c r="D107" s="7" t="s">
        <v>989</v>
      </c>
      <c r="E107" s="7" t="s">
        <v>990</v>
      </c>
      <c r="F107" s="7" t="s">
        <v>566</v>
      </c>
      <c r="G107" s="7" t="s">
        <v>991</v>
      </c>
    </row>
    <row r="108" customFormat="false" ht="84.75" hidden="false" customHeight="true" outlineLevel="0" collapsed="false">
      <c r="A108" s="7" t="s">
        <v>992</v>
      </c>
      <c r="B108" s="7" t="s">
        <v>128</v>
      </c>
      <c r="C108" s="7" t="s">
        <v>578</v>
      </c>
      <c r="D108" s="7" t="s">
        <v>993</v>
      </c>
      <c r="E108" s="7" t="s">
        <v>994</v>
      </c>
      <c r="F108" s="7" t="s">
        <v>566</v>
      </c>
      <c r="G108" s="7" t="s">
        <v>995</v>
      </c>
    </row>
    <row r="109" customFormat="false" ht="63.75" hidden="false" customHeight="true" outlineLevel="0" collapsed="false">
      <c r="A109" s="7" t="s">
        <v>996</v>
      </c>
      <c r="B109" s="7" t="s">
        <v>128</v>
      </c>
      <c r="C109" s="7" t="s">
        <v>578</v>
      </c>
      <c r="D109" s="7" t="s">
        <v>997</v>
      </c>
      <c r="E109" s="7" t="s">
        <v>998</v>
      </c>
      <c r="F109" s="7" t="s">
        <v>566</v>
      </c>
      <c r="G109" s="7" t="s">
        <v>999</v>
      </c>
    </row>
    <row r="110" customFormat="false" ht="53.25" hidden="false" customHeight="true" outlineLevel="0" collapsed="false">
      <c r="A110" s="7" t="s">
        <v>1000</v>
      </c>
      <c r="B110" s="7" t="s">
        <v>128</v>
      </c>
      <c r="C110" s="7" t="s">
        <v>578</v>
      </c>
      <c r="D110" s="7" t="s">
        <v>1001</v>
      </c>
      <c r="E110" s="7" t="s">
        <v>1002</v>
      </c>
      <c r="F110" s="7" t="s">
        <v>566</v>
      </c>
      <c r="G110" s="7" t="s">
        <v>1003</v>
      </c>
    </row>
    <row r="111" customFormat="false" ht="63.75" hidden="false" customHeight="true" outlineLevel="0" collapsed="false">
      <c r="A111" s="7" t="s">
        <v>1004</v>
      </c>
      <c r="B111" s="7" t="s">
        <v>128</v>
      </c>
      <c r="C111" s="7" t="s">
        <v>563</v>
      </c>
      <c r="D111" s="7" t="s">
        <v>1005</v>
      </c>
      <c r="E111" s="7" t="s">
        <v>1006</v>
      </c>
      <c r="F111" s="7" t="s">
        <v>566</v>
      </c>
      <c r="G111" s="7" t="s">
        <v>1007</v>
      </c>
    </row>
    <row r="112" customFormat="false" ht="126.75" hidden="false" customHeight="true" outlineLevel="0" collapsed="false">
      <c r="A112" s="7" t="s">
        <v>1008</v>
      </c>
      <c r="B112" s="7" t="s">
        <v>134</v>
      </c>
      <c r="C112" s="7" t="s">
        <v>578</v>
      </c>
      <c r="D112" s="7" t="s">
        <v>1009</v>
      </c>
      <c r="E112" s="7" t="s">
        <v>1010</v>
      </c>
      <c r="F112" s="7" t="s">
        <v>566</v>
      </c>
      <c r="G112" s="7" t="s">
        <v>1011</v>
      </c>
    </row>
    <row r="113" customFormat="false" ht="32.25" hidden="false" customHeight="true" outlineLevel="0" collapsed="false">
      <c r="A113" s="7" t="s">
        <v>1012</v>
      </c>
      <c r="B113" s="7" t="s">
        <v>134</v>
      </c>
      <c r="C113" s="7" t="s">
        <v>578</v>
      </c>
      <c r="D113" s="7" t="s">
        <v>1013</v>
      </c>
      <c r="E113" s="7" t="s">
        <v>1014</v>
      </c>
      <c r="F113" s="7" t="s">
        <v>566</v>
      </c>
      <c r="G113" s="7" t="s">
        <v>1015</v>
      </c>
    </row>
    <row r="114" customFormat="false" ht="32.25" hidden="false" customHeight="true" outlineLevel="0" collapsed="false">
      <c r="A114" s="7" t="s">
        <v>1016</v>
      </c>
      <c r="B114" s="7" t="s">
        <v>134</v>
      </c>
      <c r="C114" s="7" t="s">
        <v>578</v>
      </c>
      <c r="D114" s="7" t="s">
        <v>1017</v>
      </c>
      <c r="E114" s="7" t="s">
        <v>1018</v>
      </c>
      <c r="F114" s="7" t="s">
        <v>566</v>
      </c>
      <c r="G114" s="7" t="s">
        <v>1019</v>
      </c>
    </row>
    <row r="115" customFormat="false" ht="84.75" hidden="false" customHeight="true" outlineLevel="0" collapsed="false">
      <c r="A115" s="7" t="s">
        <v>1020</v>
      </c>
      <c r="B115" s="7" t="s">
        <v>134</v>
      </c>
      <c r="C115" s="7" t="s">
        <v>573</v>
      </c>
      <c r="D115" s="7" t="s">
        <v>1021</v>
      </c>
      <c r="E115" s="7" t="s">
        <v>1022</v>
      </c>
      <c r="F115" s="7" t="s">
        <v>566</v>
      </c>
      <c r="G115" s="7" t="s">
        <v>1023</v>
      </c>
    </row>
    <row r="116" customFormat="false" ht="63.75" hidden="false" customHeight="true" outlineLevel="0" collapsed="false">
      <c r="A116" s="7" t="s">
        <v>1024</v>
      </c>
      <c r="B116" s="7" t="s">
        <v>134</v>
      </c>
      <c r="C116" s="7" t="s">
        <v>578</v>
      </c>
      <c r="D116" s="7" t="s">
        <v>1025</v>
      </c>
      <c r="E116" s="7" t="s">
        <v>1026</v>
      </c>
      <c r="F116" s="7" t="s">
        <v>566</v>
      </c>
      <c r="G116" s="7" t="s">
        <v>1027</v>
      </c>
    </row>
    <row r="117" customFormat="false" ht="168" hidden="false" customHeight="true" outlineLevel="0" collapsed="false">
      <c r="A117" s="7" t="s">
        <v>1028</v>
      </c>
      <c r="B117" s="7" t="s">
        <v>142</v>
      </c>
      <c r="C117" s="7" t="s">
        <v>1029</v>
      </c>
      <c r="D117" s="7" t="s">
        <v>1030</v>
      </c>
      <c r="E117" s="7" t="s">
        <v>145</v>
      </c>
      <c r="F117" s="7" t="s">
        <v>348</v>
      </c>
      <c r="G117" s="7" t="s">
        <v>1031</v>
      </c>
    </row>
    <row r="118" customFormat="false" ht="53.25" hidden="false" customHeight="true" outlineLevel="0" collapsed="false">
      <c r="A118" s="7" t="s">
        <v>1032</v>
      </c>
      <c r="B118" s="7" t="s">
        <v>137</v>
      </c>
      <c r="C118" s="7" t="s">
        <v>148</v>
      </c>
      <c r="D118" s="7" t="s">
        <v>1033</v>
      </c>
      <c r="E118" s="7" t="s">
        <v>149</v>
      </c>
      <c r="F118" s="7" t="s">
        <v>348</v>
      </c>
      <c r="G118" s="7" t="s">
        <v>1034</v>
      </c>
    </row>
    <row r="119" customFormat="false" ht="231" hidden="false" customHeight="true" outlineLevel="0" collapsed="false">
      <c r="A119" s="7" t="s">
        <v>1035</v>
      </c>
      <c r="B119" s="7" t="s">
        <v>59</v>
      </c>
      <c r="C119" s="7" t="s">
        <v>1036</v>
      </c>
      <c r="D119" s="7" t="s">
        <v>1037</v>
      </c>
      <c r="E119" s="7" t="s">
        <v>153</v>
      </c>
      <c r="F119" s="7" t="s">
        <v>348</v>
      </c>
      <c r="G119" s="7" t="s">
        <v>1038</v>
      </c>
    </row>
    <row r="120" customFormat="false" ht="283.5" hidden="false" customHeight="true" outlineLevel="0" collapsed="false">
      <c r="A120" s="7" t="s">
        <v>1039</v>
      </c>
      <c r="B120" s="7" t="s">
        <v>155</v>
      </c>
      <c r="C120" s="7" t="s">
        <v>157</v>
      </c>
      <c r="D120" s="7" t="s">
        <v>1040</v>
      </c>
      <c r="E120" s="7" t="s">
        <v>158</v>
      </c>
      <c r="F120" s="7" t="s">
        <v>348</v>
      </c>
      <c r="G120" s="7" t="s">
        <v>1041</v>
      </c>
    </row>
    <row r="121" customFormat="false" ht="157.5" hidden="false" customHeight="true" outlineLevel="0" collapsed="false">
      <c r="A121" s="7" t="s">
        <v>1042</v>
      </c>
      <c r="B121" s="7" t="s">
        <v>90</v>
      </c>
      <c r="C121" s="7" t="s">
        <v>160</v>
      </c>
      <c r="D121" s="7" t="s">
        <v>1043</v>
      </c>
      <c r="E121" s="7" t="s">
        <v>162</v>
      </c>
      <c r="F121" s="7" t="s">
        <v>348</v>
      </c>
      <c r="G121" s="7" t="s">
        <v>1044</v>
      </c>
    </row>
    <row r="122" customFormat="false" ht="105.75" hidden="false" customHeight="true" outlineLevel="0" collapsed="false">
      <c r="A122" s="7" t="s">
        <v>1045</v>
      </c>
      <c r="B122" s="7" t="s">
        <v>131</v>
      </c>
      <c r="C122" s="7" t="s">
        <v>1046</v>
      </c>
      <c r="D122" s="7" t="s">
        <v>1047</v>
      </c>
      <c r="E122" s="7" t="s">
        <v>166</v>
      </c>
      <c r="F122" s="7" t="s">
        <v>566</v>
      </c>
      <c r="G122" s="7" t="s">
        <v>1048</v>
      </c>
    </row>
    <row r="123" customFormat="false" ht="105.75" hidden="false" customHeight="true" outlineLevel="0" collapsed="false">
      <c r="A123" s="7" t="s">
        <v>1049</v>
      </c>
      <c r="B123" s="7" t="s">
        <v>168</v>
      </c>
      <c r="C123" s="7" t="s">
        <v>157</v>
      </c>
      <c r="D123" s="7" t="s">
        <v>1050</v>
      </c>
      <c r="E123" s="7" t="s">
        <v>171</v>
      </c>
      <c r="F123" s="7" t="s">
        <v>348</v>
      </c>
      <c r="G123" s="7" t="s">
        <v>1051</v>
      </c>
    </row>
    <row r="124" customFormat="false" ht="63.75" hidden="false" customHeight="true" outlineLevel="0" collapsed="false">
      <c r="A124" s="7" t="s">
        <v>1052</v>
      </c>
      <c r="B124" s="7" t="s">
        <v>173</v>
      </c>
      <c r="C124" s="7" t="s">
        <v>157</v>
      </c>
      <c r="D124" s="7" t="s">
        <v>1053</v>
      </c>
      <c r="E124" s="7" t="s">
        <v>176</v>
      </c>
      <c r="F124" s="7" t="s">
        <v>566</v>
      </c>
      <c r="G124" s="7" t="s">
        <v>1054</v>
      </c>
    </row>
    <row r="125" customFormat="false" ht="53.25" hidden="false" customHeight="true" outlineLevel="0" collapsed="false">
      <c r="A125" s="7" t="s">
        <v>1055</v>
      </c>
      <c r="B125" s="7" t="s">
        <v>45</v>
      </c>
      <c r="C125" s="7" t="s">
        <v>157</v>
      </c>
      <c r="D125" s="7" t="s">
        <v>1056</v>
      </c>
      <c r="E125" s="7" t="s">
        <v>179</v>
      </c>
      <c r="F125" s="7" t="s">
        <v>566</v>
      </c>
      <c r="G125" s="7" t="s">
        <v>1057</v>
      </c>
    </row>
    <row r="126" customFormat="false" ht="53.25" hidden="false" customHeight="true" outlineLevel="0" collapsed="false">
      <c r="A126" s="7" t="s">
        <v>1058</v>
      </c>
      <c r="B126" s="7" t="s">
        <v>181</v>
      </c>
      <c r="C126" s="7" t="s">
        <v>1059</v>
      </c>
      <c r="D126" s="7" t="s">
        <v>1060</v>
      </c>
      <c r="E126" s="7" t="s">
        <v>184</v>
      </c>
      <c r="F126" s="7" t="s">
        <v>566</v>
      </c>
      <c r="G126" s="7" t="s">
        <v>1061</v>
      </c>
    </row>
    <row r="127" customFormat="false" ht="199.5" hidden="false" customHeight="true" outlineLevel="0" collapsed="false">
      <c r="A127" s="7" t="s">
        <v>1062</v>
      </c>
      <c r="B127" s="7" t="s">
        <v>72</v>
      </c>
      <c r="C127" s="7" t="s">
        <v>1063</v>
      </c>
      <c r="D127" s="7" t="s">
        <v>1064</v>
      </c>
      <c r="E127" s="7" t="s">
        <v>188</v>
      </c>
      <c r="F127" s="7" t="s">
        <v>566</v>
      </c>
      <c r="G127" s="7" t="s">
        <v>1065</v>
      </c>
    </row>
    <row r="128" customFormat="false" ht="199.5" hidden="false" customHeight="true" outlineLevel="0" collapsed="false">
      <c r="A128" s="7" t="s">
        <v>1066</v>
      </c>
      <c r="B128" s="7" t="s">
        <v>190</v>
      </c>
      <c r="C128" s="7" t="s">
        <v>157</v>
      </c>
      <c r="D128" s="7" t="s">
        <v>1067</v>
      </c>
      <c r="E128" s="7" t="s">
        <v>193</v>
      </c>
      <c r="F128" s="7" t="s">
        <v>566</v>
      </c>
      <c r="G128" s="7" t="s">
        <v>1068</v>
      </c>
    </row>
    <row r="129" customFormat="false" ht="84.75" hidden="false" customHeight="true" outlineLevel="0" collapsed="false">
      <c r="A129" s="7" t="s">
        <v>1069</v>
      </c>
      <c r="B129" s="7" t="s">
        <v>1070</v>
      </c>
      <c r="C129" s="7" t="s">
        <v>1071</v>
      </c>
      <c r="D129" s="7" t="s">
        <v>1072</v>
      </c>
      <c r="E129" s="7" t="s">
        <v>1073</v>
      </c>
      <c r="F129" s="7" t="s">
        <v>348</v>
      </c>
      <c r="G129" s="7" t="s">
        <v>1074</v>
      </c>
    </row>
    <row r="130" customFormat="false" ht="74.25" hidden="false" customHeight="true" outlineLevel="0" collapsed="false">
      <c r="A130" s="7" t="s">
        <v>1075</v>
      </c>
      <c r="B130" s="7" t="s">
        <v>1070</v>
      </c>
      <c r="C130" s="7" t="s">
        <v>1071</v>
      </c>
      <c r="D130" s="7" t="s">
        <v>1076</v>
      </c>
      <c r="E130" s="7" t="s">
        <v>1077</v>
      </c>
      <c r="F130" s="7" t="s">
        <v>348</v>
      </c>
      <c r="G130" s="7" t="s">
        <v>1078</v>
      </c>
    </row>
    <row r="131" customFormat="false" ht="53.25" hidden="false" customHeight="true" outlineLevel="0" collapsed="false">
      <c r="A131" s="7" t="s">
        <v>1079</v>
      </c>
      <c r="B131" s="7" t="s">
        <v>1070</v>
      </c>
      <c r="C131" s="7" t="s">
        <v>1080</v>
      </c>
      <c r="D131" s="7" t="s">
        <v>1081</v>
      </c>
      <c r="E131" s="7" t="s">
        <v>1082</v>
      </c>
      <c r="F131" s="7" t="s">
        <v>348</v>
      </c>
      <c r="G131" s="7" t="s">
        <v>1083</v>
      </c>
    </row>
    <row r="132" customFormat="false" ht="63.75" hidden="false" customHeight="true" outlineLevel="0" collapsed="false">
      <c r="A132" s="7" t="s">
        <v>1084</v>
      </c>
      <c r="B132" s="7" t="s">
        <v>1070</v>
      </c>
      <c r="C132" s="7" t="s">
        <v>1085</v>
      </c>
      <c r="D132" s="7" t="s">
        <v>1086</v>
      </c>
      <c r="E132" s="7" t="s">
        <v>1087</v>
      </c>
      <c r="F132" s="7" t="s">
        <v>348</v>
      </c>
      <c r="G132" s="7" t="s">
        <v>1088</v>
      </c>
    </row>
    <row r="133" customFormat="false" ht="21.75" hidden="false" customHeight="true" outlineLevel="0" collapsed="false">
      <c r="A133" s="7" t="s">
        <v>1089</v>
      </c>
      <c r="B133" s="7" t="s">
        <v>34</v>
      </c>
      <c r="C133" s="7" t="s">
        <v>1090</v>
      </c>
      <c r="D133" s="7" t="s">
        <v>1091</v>
      </c>
      <c r="E133" s="7" t="s">
        <v>1092</v>
      </c>
      <c r="F133" s="7" t="s">
        <v>566</v>
      </c>
      <c r="G133" s="7" t="s">
        <v>1093</v>
      </c>
    </row>
    <row r="134" customFormat="false" ht="53.25" hidden="false" customHeight="true" outlineLevel="0" collapsed="false">
      <c r="A134" s="7" t="s">
        <v>1094</v>
      </c>
      <c r="B134" s="7" t="s">
        <v>34</v>
      </c>
      <c r="C134" s="7" t="s">
        <v>1095</v>
      </c>
      <c r="D134" s="7" t="s">
        <v>1096</v>
      </c>
      <c r="E134" s="7" t="s">
        <v>1097</v>
      </c>
      <c r="F134" s="7" t="s">
        <v>566</v>
      </c>
      <c r="G134" s="7" t="s">
        <v>1098</v>
      </c>
    </row>
    <row r="135" customFormat="false" ht="21.75" hidden="false" customHeight="true" outlineLevel="0" collapsed="false">
      <c r="A135" s="7" t="s">
        <v>1099</v>
      </c>
      <c r="B135" s="7" t="s">
        <v>34</v>
      </c>
      <c r="C135" s="7" t="s">
        <v>1090</v>
      </c>
      <c r="D135" s="7" t="s">
        <v>1100</v>
      </c>
      <c r="E135" s="7" t="s">
        <v>1092</v>
      </c>
      <c r="F135" s="7" t="s">
        <v>566</v>
      </c>
      <c r="G135" s="7" t="s">
        <v>1101</v>
      </c>
    </row>
    <row r="136" customFormat="false" ht="42.75" hidden="false" customHeight="true" outlineLevel="0" collapsed="false">
      <c r="A136" s="7" t="s">
        <v>1102</v>
      </c>
      <c r="B136" s="7" t="s">
        <v>34</v>
      </c>
      <c r="C136" s="7" t="s">
        <v>1095</v>
      </c>
      <c r="D136" s="7" t="s">
        <v>1103</v>
      </c>
      <c r="E136" s="7" t="s">
        <v>1104</v>
      </c>
      <c r="F136" s="7" t="s">
        <v>566</v>
      </c>
      <c r="G136" s="7" t="s">
        <v>1105</v>
      </c>
    </row>
    <row r="137" customFormat="false" ht="42.75" hidden="false" customHeight="true" outlineLevel="0" collapsed="false">
      <c r="A137" s="7" t="s">
        <v>1106</v>
      </c>
      <c r="B137" s="7" t="s">
        <v>34</v>
      </c>
      <c r="C137" s="7" t="s">
        <v>1090</v>
      </c>
      <c r="D137" s="7" t="s">
        <v>1107</v>
      </c>
      <c r="E137" s="7" t="s">
        <v>1092</v>
      </c>
      <c r="F137" s="7" t="s">
        <v>566</v>
      </c>
      <c r="G137" s="7" t="s">
        <v>1108</v>
      </c>
    </row>
    <row r="138" customFormat="false" ht="32.25" hidden="false" customHeight="true" outlineLevel="0" collapsed="false">
      <c r="A138" s="7" t="s">
        <v>1109</v>
      </c>
      <c r="B138" s="7" t="s">
        <v>34</v>
      </c>
      <c r="C138" s="7" t="s">
        <v>1095</v>
      </c>
      <c r="D138" s="7" t="s">
        <v>1110</v>
      </c>
      <c r="E138" s="7" t="s">
        <v>1111</v>
      </c>
      <c r="F138" s="7" t="s">
        <v>566</v>
      </c>
      <c r="G138" s="7" t="s">
        <v>1112</v>
      </c>
    </row>
    <row r="139" customFormat="false" ht="32.25" hidden="false" customHeight="true" outlineLevel="0" collapsed="false">
      <c r="A139" s="7" t="s">
        <v>1113</v>
      </c>
      <c r="B139" s="7" t="s">
        <v>34</v>
      </c>
      <c r="C139" s="7" t="s">
        <v>1090</v>
      </c>
      <c r="D139" s="7" t="s">
        <v>1114</v>
      </c>
      <c r="E139" s="7" t="s">
        <v>1092</v>
      </c>
      <c r="F139" s="7" t="s">
        <v>566</v>
      </c>
      <c r="G139" s="7" t="s">
        <v>1115</v>
      </c>
    </row>
    <row r="140" customFormat="false" ht="42.75" hidden="false" customHeight="true" outlineLevel="0" collapsed="false">
      <c r="A140" s="7" t="s">
        <v>1116</v>
      </c>
      <c r="B140" s="7" t="s">
        <v>34</v>
      </c>
      <c r="C140" s="7" t="s">
        <v>1095</v>
      </c>
      <c r="D140" s="7" t="s">
        <v>1117</v>
      </c>
      <c r="E140" s="7" t="s">
        <v>1118</v>
      </c>
      <c r="F140" s="7" t="s">
        <v>566</v>
      </c>
      <c r="G140" s="7" t="s">
        <v>1119</v>
      </c>
    </row>
    <row r="141" customFormat="false" ht="42.75" hidden="false" customHeight="true" outlineLevel="0" collapsed="false">
      <c r="A141" s="7" t="s">
        <v>1120</v>
      </c>
      <c r="B141" s="7" t="s">
        <v>34</v>
      </c>
      <c r="C141" s="7" t="s">
        <v>1090</v>
      </c>
      <c r="D141" s="7" t="s">
        <v>1121</v>
      </c>
      <c r="E141" s="7" t="s">
        <v>1092</v>
      </c>
      <c r="F141" s="7" t="s">
        <v>566</v>
      </c>
      <c r="G141" s="7" t="s">
        <v>1122</v>
      </c>
    </row>
    <row r="142" customFormat="false" ht="42.75" hidden="false" customHeight="true" outlineLevel="0" collapsed="false">
      <c r="A142" s="7" t="s">
        <v>1123</v>
      </c>
      <c r="B142" s="7" t="s">
        <v>34</v>
      </c>
      <c r="C142" s="7" t="s">
        <v>1095</v>
      </c>
      <c r="D142" s="7" t="s">
        <v>1124</v>
      </c>
      <c r="E142" s="7" t="s">
        <v>1125</v>
      </c>
      <c r="F142" s="7" t="s">
        <v>566</v>
      </c>
      <c r="G142" s="7" t="s">
        <v>1126</v>
      </c>
    </row>
    <row r="143" customFormat="false" ht="32.25" hidden="false" customHeight="true" outlineLevel="0" collapsed="false">
      <c r="A143" s="7" t="s">
        <v>1127</v>
      </c>
      <c r="B143" s="7" t="s">
        <v>34</v>
      </c>
      <c r="C143" s="7" t="s">
        <v>1090</v>
      </c>
      <c r="D143" s="7" t="s">
        <v>1128</v>
      </c>
      <c r="E143" s="7" t="s">
        <v>1092</v>
      </c>
      <c r="F143" s="7" t="s">
        <v>566</v>
      </c>
      <c r="G143" s="7" t="s">
        <v>1129</v>
      </c>
    </row>
    <row r="144" customFormat="false" ht="63.75" hidden="false" customHeight="true" outlineLevel="0" collapsed="false">
      <c r="A144" s="7" t="s">
        <v>1130</v>
      </c>
      <c r="B144" s="7" t="s">
        <v>34</v>
      </c>
      <c r="C144" s="7" t="s">
        <v>1095</v>
      </c>
      <c r="D144" s="7" t="s">
        <v>1131</v>
      </c>
      <c r="E144" s="7" t="s">
        <v>1132</v>
      </c>
      <c r="F144" s="7" t="s">
        <v>566</v>
      </c>
      <c r="G144" s="7" t="s">
        <v>1133</v>
      </c>
    </row>
    <row r="145" customFormat="false" ht="21.75" hidden="false" customHeight="true" outlineLevel="0" collapsed="false">
      <c r="A145" s="7" t="s">
        <v>1134</v>
      </c>
      <c r="B145" s="7" t="s">
        <v>34</v>
      </c>
      <c r="C145" s="7" t="s">
        <v>1090</v>
      </c>
      <c r="D145" s="7" t="s">
        <v>1135</v>
      </c>
      <c r="E145" s="7" t="s">
        <v>1092</v>
      </c>
      <c r="F145" s="7" t="s">
        <v>566</v>
      </c>
      <c r="G145" s="7" t="s">
        <v>1136</v>
      </c>
    </row>
    <row r="146" customFormat="false" ht="53.25" hidden="false" customHeight="true" outlineLevel="0" collapsed="false">
      <c r="A146" s="7" t="s">
        <v>1137</v>
      </c>
      <c r="B146" s="7" t="s">
        <v>34</v>
      </c>
      <c r="C146" s="7" t="s">
        <v>1095</v>
      </c>
      <c r="D146" s="7" t="s">
        <v>1138</v>
      </c>
      <c r="E146" s="7" t="s">
        <v>1139</v>
      </c>
      <c r="F146" s="7" t="s">
        <v>566</v>
      </c>
      <c r="G146" s="7" t="s">
        <v>1140</v>
      </c>
    </row>
    <row r="147" customFormat="false" ht="21.75" hidden="false" customHeight="true" outlineLevel="0" collapsed="false">
      <c r="A147" s="7" t="s">
        <v>1141</v>
      </c>
      <c r="B147" s="7" t="s">
        <v>34</v>
      </c>
      <c r="C147" s="7" t="s">
        <v>1090</v>
      </c>
      <c r="D147" s="7" t="s">
        <v>1142</v>
      </c>
      <c r="E147" s="7" t="s">
        <v>1092</v>
      </c>
      <c r="F147" s="7" t="s">
        <v>566</v>
      </c>
      <c r="G147" s="7" t="s">
        <v>1143</v>
      </c>
    </row>
    <row r="148" customFormat="false" ht="53.25" hidden="false" customHeight="true" outlineLevel="0" collapsed="false">
      <c r="A148" s="7" t="s">
        <v>1144</v>
      </c>
      <c r="B148" s="7" t="s">
        <v>34</v>
      </c>
      <c r="C148" s="7" t="s">
        <v>1095</v>
      </c>
      <c r="D148" s="7" t="s">
        <v>1145</v>
      </c>
      <c r="E148" s="7" t="s">
        <v>1146</v>
      </c>
      <c r="F148" s="7" t="s">
        <v>566</v>
      </c>
      <c r="G148" s="7" t="s">
        <v>1147</v>
      </c>
    </row>
    <row r="149" customFormat="false" ht="21.75" hidden="false" customHeight="true" outlineLevel="0" collapsed="false">
      <c r="A149" s="7" t="s">
        <v>1148</v>
      </c>
      <c r="B149" s="7" t="s">
        <v>34</v>
      </c>
      <c r="C149" s="7" t="s">
        <v>1090</v>
      </c>
      <c r="D149" s="7" t="s">
        <v>1149</v>
      </c>
      <c r="E149" s="7" t="s">
        <v>1092</v>
      </c>
      <c r="F149" s="7" t="s">
        <v>566</v>
      </c>
      <c r="G149" s="7" t="s">
        <v>1150</v>
      </c>
    </row>
    <row r="150" customFormat="false" ht="32.25" hidden="false" customHeight="true" outlineLevel="0" collapsed="false">
      <c r="A150" s="7" t="s">
        <v>1151</v>
      </c>
      <c r="B150" s="7" t="s">
        <v>34</v>
      </c>
      <c r="C150" s="7" t="s">
        <v>1095</v>
      </c>
      <c r="D150" s="7" t="s">
        <v>1152</v>
      </c>
      <c r="E150" s="7" t="s">
        <v>1153</v>
      </c>
      <c r="F150" s="7" t="s">
        <v>566</v>
      </c>
      <c r="G150" s="7" t="s">
        <v>1154</v>
      </c>
    </row>
    <row r="151" customFormat="false" ht="21.75" hidden="false" customHeight="true" outlineLevel="0" collapsed="false">
      <c r="A151" s="7" t="s">
        <v>1155</v>
      </c>
      <c r="B151" s="7" t="s">
        <v>34</v>
      </c>
      <c r="C151" s="7" t="s">
        <v>1090</v>
      </c>
      <c r="D151" s="7" t="s">
        <v>1156</v>
      </c>
      <c r="E151" s="7" t="s">
        <v>1092</v>
      </c>
      <c r="F151" s="7" t="s">
        <v>566</v>
      </c>
      <c r="G151" s="7" t="s">
        <v>1157</v>
      </c>
    </row>
    <row r="152" customFormat="false" ht="42.75" hidden="false" customHeight="true" outlineLevel="0" collapsed="false">
      <c r="A152" s="7" t="s">
        <v>1158</v>
      </c>
      <c r="B152" s="7" t="s">
        <v>34</v>
      </c>
      <c r="C152" s="7" t="s">
        <v>1095</v>
      </c>
      <c r="D152" s="7" t="s">
        <v>1159</v>
      </c>
      <c r="E152" s="7" t="s">
        <v>1160</v>
      </c>
      <c r="F152" s="7" t="s">
        <v>566</v>
      </c>
      <c r="G152" s="7" t="s">
        <v>1161</v>
      </c>
    </row>
    <row r="153" customFormat="false" ht="21.75" hidden="false" customHeight="true" outlineLevel="0" collapsed="false">
      <c r="A153" s="7" t="s">
        <v>1162</v>
      </c>
      <c r="B153" s="7" t="s">
        <v>34</v>
      </c>
      <c r="C153" s="7" t="s">
        <v>1090</v>
      </c>
      <c r="D153" s="7" t="s">
        <v>1163</v>
      </c>
      <c r="E153" s="7" t="s">
        <v>1092</v>
      </c>
      <c r="F153" s="7" t="s">
        <v>566</v>
      </c>
      <c r="G153" s="7" t="s">
        <v>1164</v>
      </c>
    </row>
    <row r="154" customFormat="false" ht="32.25" hidden="false" customHeight="true" outlineLevel="0" collapsed="false">
      <c r="A154" s="7" t="s">
        <v>1165</v>
      </c>
      <c r="B154" s="7" t="s">
        <v>34</v>
      </c>
      <c r="C154" s="7" t="s">
        <v>1095</v>
      </c>
      <c r="D154" s="7" t="s">
        <v>1166</v>
      </c>
      <c r="E154" s="7" t="s">
        <v>1167</v>
      </c>
      <c r="F154" s="7" t="s">
        <v>566</v>
      </c>
      <c r="G154" s="7" t="s">
        <v>1168</v>
      </c>
    </row>
    <row r="155" customFormat="false" ht="32.25" hidden="false" customHeight="true" outlineLevel="0" collapsed="false">
      <c r="A155" s="7" t="s">
        <v>1169</v>
      </c>
      <c r="B155" s="7" t="s">
        <v>34</v>
      </c>
      <c r="C155" s="7" t="s">
        <v>1090</v>
      </c>
      <c r="D155" s="7" t="s">
        <v>1170</v>
      </c>
      <c r="E155" s="7" t="s">
        <v>1092</v>
      </c>
      <c r="F155" s="7" t="s">
        <v>566</v>
      </c>
      <c r="G155" s="7" t="s">
        <v>1171</v>
      </c>
    </row>
    <row r="156" customFormat="false" ht="53.25" hidden="false" customHeight="true" outlineLevel="0" collapsed="false">
      <c r="A156" s="7" t="s">
        <v>1172</v>
      </c>
      <c r="B156" s="7" t="s">
        <v>34</v>
      </c>
      <c r="C156" s="7" t="s">
        <v>1095</v>
      </c>
      <c r="D156" s="7" t="s">
        <v>1173</v>
      </c>
      <c r="E156" s="7" t="s">
        <v>1174</v>
      </c>
      <c r="F156" s="7" t="s">
        <v>566</v>
      </c>
      <c r="G156" s="7" t="s">
        <v>1175</v>
      </c>
    </row>
    <row r="157" customFormat="false" ht="21.75" hidden="false" customHeight="true" outlineLevel="0" collapsed="false">
      <c r="A157" s="7" t="s">
        <v>1176</v>
      </c>
      <c r="B157" s="7" t="s">
        <v>34</v>
      </c>
      <c r="C157" s="7" t="s">
        <v>1090</v>
      </c>
      <c r="D157" s="7" t="s">
        <v>1177</v>
      </c>
      <c r="E157" s="7" t="s">
        <v>1092</v>
      </c>
      <c r="F157" s="7" t="s">
        <v>566</v>
      </c>
      <c r="G157" s="7" t="s">
        <v>1178</v>
      </c>
    </row>
    <row r="158" customFormat="false" ht="32.25" hidden="false" customHeight="true" outlineLevel="0" collapsed="false">
      <c r="A158" s="7" t="s">
        <v>1179</v>
      </c>
      <c r="B158" s="7" t="s">
        <v>34</v>
      </c>
      <c r="C158" s="7" t="s">
        <v>1095</v>
      </c>
      <c r="D158" s="7" t="s">
        <v>1180</v>
      </c>
      <c r="E158" s="7" t="s">
        <v>1181</v>
      </c>
      <c r="F158" s="7" t="s">
        <v>566</v>
      </c>
      <c r="G158" s="7" t="s">
        <v>1182</v>
      </c>
    </row>
    <row r="159" customFormat="false" ht="21.75" hidden="false" customHeight="true" outlineLevel="0" collapsed="false">
      <c r="A159" s="7" t="s">
        <v>1183</v>
      </c>
      <c r="B159" s="7" t="s">
        <v>34</v>
      </c>
      <c r="C159" s="7" t="s">
        <v>1090</v>
      </c>
      <c r="D159" s="7" t="s">
        <v>1184</v>
      </c>
      <c r="E159" s="7" t="s">
        <v>1092</v>
      </c>
      <c r="F159" s="7" t="s">
        <v>566</v>
      </c>
      <c r="G159" s="7" t="s">
        <v>1185</v>
      </c>
    </row>
    <row r="160" customFormat="false" ht="42.75" hidden="false" customHeight="true" outlineLevel="0" collapsed="false">
      <c r="A160" s="7" t="s">
        <v>1186</v>
      </c>
      <c r="B160" s="7" t="s">
        <v>34</v>
      </c>
      <c r="C160" s="7" t="s">
        <v>1095</v>
      </c>
      <c r="D160" s="7" t="s">
        <v>1187</v>
      </c>
      <c r="E160" s="7" t="s">
        <v>1188</v>
      </c>
      <c r="F160" s="7" t="s">
        <v>566</v>
      </c>
      <c r="G160" s="7" t="s">
        <v>1189</v>
      </c>
    </row>
    <row r="161" customFormat="false" ht="21.75" hidden="false" customHeight="true" outlineLevel="0" collapsed="false">
      <c r="A161" s="7" t="s">
        <v>1190</v>
      </c>
      <c r="B161" s="7" t="s">
        <v>34</v>
      </c>
      <c r="C161" s="7" t="s">
        <v>1090</v>
      </c>
      <c r="D161" s="7" t="s">
        <v>1191</v>
      </c>
      <c r="E161" s="7" t="s">
        <v>1092</v>
      </c>
      <c r="F161" s="7" t="s">
        <v>566</v>
      </c>
      <c r="G161" s="7" t="s">
        <v>1192</v>
      </c>
    </row>
    <row r="162" customFormat="false" ht="53.25" hidden="false" customHeight="true" outlineLevel="0" collapsed="false">
      <c r="A162" s="7" t="s">
        <v>1193</v>
      </c>
      <c r="B162" s="7" t="s">
        <v>34</v>
      </c>
      <c r="C162" s="7" t="s">
        <v>1095</v>
      </c>
      <c r="D162" s="7" t="s">
        <v>1194</v>
      </c>
      <c r="E162" s="7" t="s">
        <v>1195</v>
      </c>
      <c r="F162" s="7" t="s">
        <v>566</v>
      </c>
      <c r="G162" s="7" t="s">
        <v>1196</v>
      </c>
    </row>
    <row r="163" customFormat="false" ht="21.75" hidden="false" customHeight="true" outlineLevel="0" collapsed="false">
      <c r="A163" s="7" t="s">
        <v>1197</v>
      </c>
      <c r="B163" s="7" t="s">
        <v>41</v>
      </c>
      <c r="C163" s="7" t="s">
        <v>1090</v>
      </c>
      <c r="D163" s="7" t="s">
        <v>1198</v>
      </c>
      <c r="E163" s="7" t="s">
        <v>1092</v>
      </c>
      <c r="F163" s="7" t="s">
        <v>566</v>
      </c>
      <c r="G163" s="7" t="s">
        <v>1199</v>
      </c>
    </row>
    <row r="164" customFormat="false" ht="21.75" hidden="false" customHeight="true" outlineLevel="0" collapsed="false">
      <c r="A164" s="7" t="s">
        <v>1200</v>
      </c>
      <c r="B164" s="7" t="s">
        <v>41</v>
      </c>
      <c r="C164" s="7" t="s">
        <v>1095</v>
      </c>
      <c r="D164" s="7" t="s">
        <v>1201</v>
      </c>
      <c r="E164" s="7" t="s">
        <v>1202</v>
      </c>
      <c r="F164" s="7" t="s">
        <v>566</v>
      </c>
      <c r="G164" s="7" t="s">
        <v>1203</v>
      </c>
    </row>
    <row r="165" customFormat="false" ht="32.25" hidden="false" customHeight="true" outlineLevel="0" collapsed="false">
      <c r="A165" s="7" t="s">
        <v>1204</v>
      </c>
      <c r="B165" s="7" t="s">
        <v>41</v>
      </c>
      <c r="C165" s="7" t="s">
        <v>1090</v>
      </c>
      <c r="D165" s="7" t="s">
        <v>1205</v>
      </c>
      <c r="E165" s="7" t="s">
        <v>1092</v>
      </c>
      <c r="F165" s="7" t="s">
        <v>566</v>
      </c>
      <c r="G165" s="7" t="s">
        <v>1206</v>
      </c>
    </row>
    <row r="166" customFormat="false" ht="42.75" hidden="false" customHeight="true" outlineLevel="0" collapsed="false">
      <c r="A166" s="7" t="s">
        <v>1207</v>
      </c>
      <c r="B166" s="7" t="s">
        <v>41</v>
      </c>
      <c r="C166" s="7" t="s">
        <v>1095</v>
      </c>
      <c r="D166" s="7" t="s">
        <v>1208</v>
      </c>
      <c r="E166" s="7" t="s">
        <v>1209</v>
      </c>
      <c r="F166" s="7" t="s">
        <v>566</v>
      </c>
      <c r="G166" s="7" t="s">
        <v>1210</v>
      </c>
    </row>
    <row r="167" customFormat="false" ht="21.75" hidden="false" customHeight="true" outlineLevel="0" collapsed="false">
      <c r="A167" s="7" t="s">
        <v>1211</v>
      </c>
      <c r="B167" s="7" t="s">
        <v>41</v>
      </c>
      <c r="C167" s="7" t="s">
        <v>1090</v>
      </c>
      <c r="D167" s="7" t="s">
        <v>1212</v>
      </c>
      <c r="E167" s="7" t="s">
        <v>1092</v>
      </c>
      <c r="F167" s="7" t="s">
        <v>566</v>
      </c>
      <c r="G167" s="7" t="s">
        <v>1213</v>
      </c>
    </row>
    <row r="168" customFormat="false" ht="53.25" hidden="false" customHeight="true" outlineLevel="0" collapsed="false">
      <c r="A168" s="7" t="s">
        <v>1214</v>
      </c>
      <c r="B168" s="7" t="s">
        <v>41</v>
      </c>
      <c r="C168" s="7" t="s">
        <v>1095</v>
      </c>
      <c r="D168" s="7" t="s">
        <v>1215</v>
      </c>
      <c r="E168" s="7" t="s">
        <v>1216</v>
      </c>
      <c r="F168" s="7" t="s">
        <v>566</v>
      </c>
      <c r="G168" s="7" t="s">
        <v>1217</v>
      </c>
    </row>
    <row r="169" customFormat="false" ht="21.75" hidden="false" customHeight="true" outlineLevel="0" collapsed="false">
      <c r="A169" s="7" t="s">
        <v>1218</v>
      </c>
      <c r="B169" s="7" t="s">
        <v>41</v>
      </c>
      <c r="C169" s="7" t="s">
        <v>1090</v>
      </c>
      <c r="D169" s="7" t="s">
        <v>1219</v>
      </c>
      <c r="E169" s="7" t="s">
        <v>1092</v>
      </c>
      <c r="F169" s="7" t="s">
        <v>566</v>
      </c>
      <c r="G169" s="7" t="s">
        <v>1220</v>
      </c>
    </row>
    <row r="170" customFormat="false" ht="63.75" hidden="false" customHeight="true" outlineLevel="0" collapsed="false">
      <c r="A170" s="7" t="s">
        <v>1221</v>
      </c>
      <c r="B170" s="7" t="s">
        <v>41</v>
      </c>
      <c r="C170" s="7" t="s">
        <v>1095</v>
      </c>
      <c r="D170" s="7" t="s">
        <v>1222</v>
      </c>
      <c r="E170" s="7" t="s">
        <v>1223</v>
      </c>
      <c r="F170" s="7" t="s">
        <v>566</v>
      </c>
      <c r="G170" s="7" t="s">
        <v>1224</v>
      </c>
    </row>
    <row r="171" customFormat="false" ht="32.25" hidden="false" customHeight="true" outlineLevel="0" collapsed="false">
      <c r="A171" s="7" t="s">
        <v>1225</v>
      </c>
      <c r="B171" s="7" t="s">
        <v>48</v>
      </c>
      <c r="C171" s="7" t="s">
        <v>1090</v>
      </c>
      <c r="D171" s="7" t="s">
        <v>1226</v>
      </c>
      <c r="E171" s="7" t="s">
        <v>1092</v>
      </c>
      <c r="F171" s="7" t="s">
        <v>566</v>
      </c>
      <c r="G171" s="7" t="s">
        <v>1227</v>
      </c>
    </row>
    <row r="172" customFormat="false" ht="74.25" hidden="false" customHeight="true" outlineLevel="0" collapsed="false">
      <c r="A172" s="7" t="s">
        <v>1228</v>
      </c>
      <c r="B172" s="7" t="s">
        <v>48</v>
      </c>
      <c r="C172" s="7" t="s">
        <v>1095</v>
      </c>
      <c r="D172" s="7" t="s">
        <v>1229</v>
      </c>
      <c r="E172" s="7" t="s">
        <v>1230</v>
      </c>
      <c r="F172" s="7" t="s">
        <v>566</v>
      </c>
      <c r="G172" s="7" t="s">
        <v>1231</v>
      </c>
    </row>
    <row r="173" customFormat="false" ht="21.75" hidden="false" customHeight="true" outlineLevel="0" collapsed="false">
      <c r="A173" s="7" t="s">
        <v>1232</v>
      </c>
      <c r="B173" s="7" t="s">
        <v>26</v>
      </c>
      <c r="C173" s="7" t="s">
        <v>1090</v>
      </c>
      <c r="D173" s="7" t="s">
        <v>1233</v>
      </c>
      <c r="E173" s="7" t="s">
        <v>1092</v>
      </c>
      <c r="F173" s="7" t="s">
        <v>566</v>
      </c>
      <c r="G173" s="7" t="s">
        <v>1234</v>
      </c>
    </row>
    <row r="174" customFormat="false" ht="42.75" hidden="false" customHeight="true" outlineLevel="0" collapsed="false">
      <c r="A174" s="7" t="s">
        <v>1235</v>
      </c>
      <c r="B174" s="7" t="s">
        <v>26</v>
      </c>
      <c r="C174" s="7" t="s">
        <v>1095</v>
      </c>
      <c r="D174" s="7" t="s">
        <v>1236</v>
      </c>
      <c r="E174" s="7" t="s">
        <v>1237</v>
      </c>
      <c r="F174" s="7" t="s">
        <v>566</v>
      </c>
      <c r="G174" s="7" t="s">
        <v>1238</v>
      </c>
    </row>
    <row r="175" customFormat="false" ht="21.75" hidden="false" customHeight="true" outlineLevel="0" collapsed="false">
      <c r="A175" s="7" t="s">
        <v>1239</v>
      </c>
      <c r="B175" s="7" t="s">
        <v>62</v>
      </c>
      <c r="C175" s="7" t="s">
        <v>1090</v>
      </c>
      <c r="D175" s="7" t="s">
        <v>1240</v>
      </c>
      <c r="E175" s="7" t="s">
        <v>1092</v>
      </c>
      <c r="F175" s="7" t="s">
        <v>566</v>
      </c>
      <c r="G175" s="7" t="s">
        <v>1241</v>
      </c>
    </row>
    <row r="176" customFormat="false" ht="42.75" hidden="false" customHeight="true" outlineLevel="0" collapsed="false">
      <c r="A176" s="7" t="s">
        <v>1242</v>
      </c>
      <c r="B176" s="7" t="s">
        <v>62</v>
      </c>
      <c r="C176" s="7" t="s">
        <v>1095</v>
      </c>
      <c r="D176" s="7" t="s">
        <v>1243</v>
      </c>
      <c r="E176" s="7" t="s">
        <v>1244</v>
      </c>
      <c r="F176" s="7" t="s">
        <v>566</v>
      </c>
      <c r="G176" s="7" t="s">
        <v>1245</v>
      </c>
    </row>
    <row r="177" customFormat="false" ht="15" hidden="false" customHeight="true" outlineLevel="0" collapsed="false">
      <c r="A177" s="7" t="s">
        <v>1246</v>
      </c>
      <c r="B177" s="7" t="s">
        <v>75</v>
      </c>
      <c r="C177" s="7" t="s">
        <v>1090</v>
      </c>
      <c r="D177" s="7" t="s">
        <v>1247</v>
      </c>
      <c r="E177" s="7" t="s">
        <v>1092</v>
      </c>
      <c r="F177" s="7" t="s">
        <v>566</v>
      </c>
      <c r="G177" s="7" t="s">
        <v>1248</v>
      </c>
    </row>
    <row r="178" customFormat="false" ht="42.75" hidden="false" customHeight="true" outlineLevel="0" collapsed="false">
      <c r="A178" s="7" t="s">
        <v>1249</v>
      </c>
      <c r="B178" s="7" t="s">
        <v>75</v>
      </c>
      <c r="C178" s="7" t="s">
        <v>1095</v>
      </c>
      <c r="D178" s="7" t="s">
        <v>1250</v>
      </c>
      <c r="E178" s="7" t="s">
        <v>1251</v>
      </c>
      <c r="F178" s="7" t="s">
        <v>566</v>
      </c>
      <c r="G178" s="7" t="s">
        <v>1252</v>
      </c>
    </row>
    <row r="179" customFormat="false" ht="15" hidden="false" customHeight="true" outlineLevel="0" collapsed="false">
      <c r="A179" s="7" t="s">
        <v>1253</v>
      </c>
      <c r="B179" s="7" t="s">
        <v>75</v>
      </c>
      <c r="C179" s="7" t="s">
        <v>1090</v>
      </c>
      <c r="D179" s="7" t="s">
        <v>1254</v>
      </c>
      <c r="E179" s="7" t="s">
        <v>1092</v>
      </c>
      <c r="F179" s="7" t="s">
        <v>566</v>
      </c>
      <c r="G179" s="7" t="s">
        <v>1255</v>
      </c>
    </row>
    <row r="180" customFormat="false" ht="42.75" hidden="false" customHeight="true" outlineLevel="0" collapsed="false">
      <c r="A180" s="7" t="s">
        <v>1256</v>
      </c>
      <c r="B180" s="7" t="s">
        <v>75</v>
      </c>
      <c r="C180" s="7" t="s">
        <v>1095</v>
      </c>
      <c r="D180" s="7" t="s">
        <v>1257</v>
      </c>
      <c r="E180" s="7" t="s">
        <v>1258</v>
      </c>
      <c r="F180" s="7" t="s">
        <v>566</v>
      </c>
      <c r="G180" s="7" t="s">
        <v>1259</v>
      </c>
    </row>
    <row r="181" customFormat="false" ht="21.75" hidden="false" customHeight="true" outlineLevel="0" collapsed="false">
      <c r="A181" s="7" t="s">
        <v>1260</v>
      </c>
      <c r="B181" s="7" t="s">
        <v>69</v>
      </c>
      <c r="C181" s="7" t="s">
        <v>1090</v>
      </c>
      <c r="D181" s="7" t="s">
        <v>1261</v>
      </c>
      <c r="E181" s="7" t="s">
        <v>1092</v>
      </c>
      <c r="F181" s="7" t="s">
        <v>566</v>
      </c>
      <c r="G181" s="7" t="s">
        <v>1262</v>
      </c>
    </row>
    <row r="182" customFormat="false" ht="42.75" hidden="false" customHeight="true" outlineLevel="0" collapsed="false">
      <c r="A182" s="7" t="s">
        <v>1263</v>
      </c>
      <c r="B182" s="7" t="s">
        <v>69</v>
      </c>
      <c r="C182" s="7" t="s">
        <v>1095</v>
      </c>
      <c r="D182" s="7" t="s">
        <v>1264</v>
      </c>
      <c r="E182" s="7" t="s">
        <v>1265</v>
      </c>
      <c r="F182" s="7" t="s">
        <v>566</v>
      </c>
      <c r="G182" s="7" t="s">
        <v>1266</v>
      </c>
    </row>
    <row r="183" customFormat="false" ht="21.75" hidden="false" customHeight="true" outlineLevel="0" collapsed="false">
      <c r="A183" s="7" t="s">
        <v>1267</v>
      </c>
      <c r="B183" s="7" t="s">
        <v>75</v>
      </c>
      <c r="C183" s="7" t="s">
        <v>1090</v>
      </c>
      <c r="D183" s="7" t="s">
        <v>1268</v>
      </c>
      <c r="E183" s="7" t="s">
        <v>1092</v>
      </c>
      <c r="F183" s="7" t="s">
        <v>566</v>
      </c>
      <c r="G183" s="7" t="s">
        <v>1269</v>
      </c>
    </row>
    <row r="184" customFormat="false" ht="21.75" hidden="false" customHeight="true" outlineLevel="0" collapsed="false">
      <c r="A184" s="7" t="s">
        <v>1270</v>
      </c>
      <c r="B184" s="7" t="s">
        <v>75</v>
      </c>
      <c r="C184" s="7" t="s">
        <v>1095</v>
      </c>
      <c r="D184" s="7" t="s">
        <v>1271</v>
      </c>
      <c r="E184" s="7" t="s">
        <v>1272</v>
      </c>
      <c r="F184" s="7" t="s">
        <v>566</v>
      </c>
      <c r="G184" s="7" t="s">
        <v>1273</v>
      </c>
    </row>
    <row r="185" customFormat="false" ht="21.75" hidden="false" customHeight="true" outlineLevel="0" collapsed="false">
      <c r="A185" s="7" t="s">
        <v>1274</v>
      </c>
      <c r="B185" s="7" t="s">
        <v>75</v>
      </c>
      <c r="C185" s="7" t="s">
        <v>1090</v>
      </c>
      <c r="D185" s="7" t="s">
        <v>1275</v>
      </c>
      <c r="E185" s="7" t="s">
        <v>1092</v>
      </c>
      <c r="F185" s="7" t="s">
        <v>566</v>
      </c>
      <c r="G185" s="7" t="s">
        <v>1276</v>
      </c>
    </row>
    <row r="186" customFormat="false" ht="32.25" hidden="false" customHeight="true" outlineLevel="0" collapsed="false">
      <c r="A186" s="7" t="s">
        <v>1277</v>
      </c>
      <c r="B186" s="7" t="s">
        <v>75</v>
      </c>
      <c r="C186" s="7" t="s">
        <v>1095</v>
      </c>
      <c r="D186" s="7" t="s">
        <v>1278</v>
      </c>
      <c r="E186" s="7" t="s">
        <v>1279</v>
      </c>
      <c r="F186" s="7" t="s">
        <v>566</v>
      </c>
      <c r="G186" s="7" t="s">
        <v>1280</v>
      </c>
    </row>
    <row r="187" customFormat="false" ht="21.75" hidden="false" customHeight="true" outlineLevel="0" collapsed="false">
      <c r="A187" s="7" t="s">
        <v>1281</v>
      </c>
      <c r="B187" s="7" t="s">
        <v>81</v>
      </c>
      <c r="C187" s="7" t="s">
        <v>1090</v>
      </c>
      <c r="D187" s="7" t="s">
        <v>1282</v>
      </c>
      <c r="E187" s="7" t="s">
        <v>1092</v>
      </c>
      <c r="F187" s="7" t="s">
        <v>566</v>
      </c>
      <c r="G187" s="7" t="s">
        <v>1283</v>
      </c>
    </row>
    <row r="188" customFormat="false" ht="53.25" hidden="false" customHeight="true" outlineLevel="0" collapsed="false">
      <c r="A188" s="7" t="s">
        <v>1284</v>
      </c>
      <c r="B188" s="7" t="s">
        <v>81</v>
      </c>
      <c r="C188" s="7" t="s">
        <v>1095</v>
      </c>
      <c r="D188" s="7" t="s">
        <v>1285</v>
      </c>
      <c r="E188" s="7" t="s">
        <v>1286</v>
      </c>
      <c r="F188" s="7" t="s">
        <v>566</v>
      </c>
      <c r="G188" s="7" t="s">
        <v>1287</v>
      </c>
    </row>
    <row r="189" customFormat="false" ht="21.75" hidden="false" customHeight="true" outlineLevel="0" collapsed="false">
      <c r="A189" s="7" t="s">
        <v>1288</v>
      </c>
      <c r="B189" s="7" t="s">
        <v>81</v>
      </c>
      <c r="C189" s="7" t="s">
        <v>1090</v>
      </c>
      <c r="D189" s="7" t="s">
        <v>1289</v>
      </c>
      <c r="E189" s="7" t="s">
        <v>1092</v>
      </c>
      <c r="F189" s="7" t="s">
        <v>566</v>
      </c>
      <c r="G189" s="7" t="s">
        <v>1290</v>
      </c>
    </row>
    <row r="190" customFormat="false" ht="53.25" hidden="false" customHeight="true" outlineLevel="0" collapsed="false">
      <c r="A190" s="7" t="s">
        <v>1291</v>
      </c>
      <c r="B190" s="7" t="s">
        <v>81</v>
      </c>
      <c r="C190" s="7" t="s">
        <v>1095</v>
      </c>
      <c r="D190" s="7" t="s">
        <v>1292</v>
      </c>
      <c r="E190" s="7" t="s">
        <v>1293</v>
      </c>
      <c r="F190" s="7" t="s">
        <v>566</v>
      </c>
      <c r="G190" s="7" t="s">
        <v>1294</v>
      </c>
    </row>
    <row r="191" customFormat="false" ht="21.75" hidden="false" customHeight="true" outlineLevel="0" collapsed="false">
      <c r="A191" s="7" t="s">
        <v>1295</v>
      </c>
      <c r="B191" s="7" t="s">
        <v>81</v>
      </c>
      <c r="C191" s="7" t="s">
        <v>1090</v>
      </c>
      <c r="D191" s="7" t="s">
        <v>1296</v>
      </c>
      <c r="E191" s="7" t="s">
        <v>1092</v>
      </c>
      <c r="F191" s="7" t="s">
        <v>566</v>
      </c>
      <c r="G191" s="7" t="s">
        <v>1297</v>
      </c>
    </row>
    <row r="192" customFormat="false" ht="42.75" hidden="false" customHeight="true" outlineLevel="0" collapsed="false">
      <c r="A192" s="7" t="s">
        <v>1298</v>
      </c>
      <c r="B192" s="7" t="s">
        <v>81</v>
      </c>
      <c r="C192" s="7" t="s">
        <v>1095</v>
      </c>
      <c r="D192" s="7" t="s">
        <v>1299</v>
      </c>
      <c r="E192" s="7" t="s">
        <v>1300</v>
      </c>
      <c r="F192" s="7" t="s">
        <v>566</v>
      </c>
      <c r="G192" s="7" t="s">
        <v>1301</v>
      </c>
    </row>
    <row r="193" customFormat="false" ht="15" hidden="false" customHeight="true" outlineLevel="0" collapsed="false">
      <c r="A193" s="7" t="s">
        <v>1302</v>
      </c>
      <c r="B193" s="7" t="s">
        <v>93</v>
      </c>
      <c r="C193" s="7" t="s">
        <v>1090</v>
      </c>
      <c r="D193" s="7" t="s">
        <v>1303</v>
      </c>
      <c r="E193" s="7" t="s">
        <v>1092</v>
      </c>
      <c r="F193" s="7" t="s">
        <v>566</v>
      </c>
      <c r="G193" s="7" t="s">
        <v>1304</v>
      </c>
    </row>
    <row r="194" customFormat="false" ht="53.25" hidden="false" customHeight="true" outlineLevel="0" collapsed="false">
      <c r="A194" s="7" t="s">
        <v>1305</v>
      </c>
      <c r="B194" s="7" t="s">
        <v>93</v>
      </c>
      <c r="C194" s="7" t="s">
        <v>1095</v>
      </c>
      <c r="D194" s="7" t="s">
        <v>1306</v>
      </c>
      <c r="E194" s="7" t="s">
        <v>1307</v>
      </c>
      <c r="F194" s="7" t="s">
        <v>566</v>
      </c>
      <c r="G194" s="7" t="s">
        <v>1308</v>
      </c>
    </row>
    <row r="195" customFormat="false" ht="15" hidden="false" customHeight="true" outlineLevel="0" collapsed="false">
      <c r="A195" s="7" t="s">
        <v>1309</v>
      </c>
      <c r="B195" s="7" t="s">
        <v>93</v>
      </c>
      <c r="C195" s="7" t="s">
        <v>1090</v>
      </c>
      <c r="D195" s="7" t="s">
        <v>1310</v>
      </c>
      <c r="E195" s="7" t="s">
        <v>1092</v>
      </c>
      <c r="F195" s="7" t="s">
        <v>566</v>
      </c>
      <c r="G195" s="7" t="s">
        <v>1311</v>
      </c>
    </row>
    <row r="196" customFormat="false" ht="32.25" hidden="false" customHeight="true" outlineLevel="0" collapsed="false">
      <c r="A196" s="7" t="s">
        <v>1312</v>
      </c>
      <c r="B196" s="7" t="s">
        <v>93</v>
      </c>
      <c r="C196" s="7" t="s">
        <v>1095</v>
      </c>
      <c r="D196" s="7" t="s">
        <v>1313</v>
      </c>
      <c r="E196" s="7" t="s">
        <v>1314</v>
      </c>
      <c r="F196" s="7" t="s">
        <v>566</v>
      </c>
      <c r="G196" s="7" t="s">
        <v>1315</v>
      </c>
    </row>
    <row r="197" customFormat="false" ht="42.75" hidden="false" customHeight="true" outlineLevel="0" collapsed="false">
      <c r="A197" s="7" t="s">
        <v>1316</v>
      </c>
      <c r="B197" s="7" t="s">
        <v>93</v>
      </c>
      <c r="C197" s="7" t="s">
        <v>1090</v>
      </c>
      <c r="D197" s="7" t="s">
        <v>1317</v>
      </c>
      <c r="E197" s="7" t="s">
        <v>1092</v>
      </c>
      <c r="F197" s="7" t="s">
        <v>566</v>
      </c>
      <c r="G197" s="7" t="s">
        <v>1318</v>
      </c>
    </row>
    <row r="198" customFormat="false" ht="105.75" hidden="false" customHeight="true" outlineLevel="0" collapsed="false">
      <c r="A198" s="7" t="s">
        <v>1319</v>
      </c>
      <c r="B198" s="7" t="s">
        <v>93</v>
      </c>
      <c r="C198" s="7" t="s">
        <v>1095</v>
      </c>
      <c r="D198" s="7" t="s">
        <v>1320</v>
      </c>
      <c r="E198" s="7" t="s">
        <v>1321</v>
      </c>
      <c r="F198" s="7" t="s">
        <v>566</v>
      </c>
      <c r="G198" s="7" t="s">
        <v>1322</v>
      </c>
    </row>
    <row r="199" customFormat="false" ht="21.75" hidden="false" customHeight="true" outlineLevel="0" collapsed="false">
      <c r="A199" s="7" t="s">
        <v>1323</v>
      </c>
      <c r="B199" s="7" t="s">
        <v>99</v>
      </c>
      <c r="C199" s="7" t="s">
        <v>1090</v>
      </c>
      <c r="D199" s="7" t="s">
        <v>1324</v>
      </c>
      <c r="E199" s="7" t="s">
        <v>1092</v>
      </c>
      <c r="F199" s="7" t="s">
        <v>566</v>
      </c>
      <c r="G199" s="7" t="s">
        <v>1325</v>
      </c>
    </row>
    <row r="200" customFormat="false" ht="42.75" hidden="false" customHeight="true" outlineLevel="0" collapsed="false">
      <c r="A200" s="7" t="s">
        <v>1326</v>
      </c>
      <c r="B200" s="7" t="s">
        <v>99</v>
      </c>
      <c r="C200" s="7" t="s">
        <v>1095</v>
      </c>
      <c r="D200" s="7" t="s">
        <v>1327</v>
      </c>
      <c r="E200" s="7" t="s">
        <v>1328</v>
      </c>
      <c r="F200" s="7" t="s">
        <v>566</v>
      </c>
      <c r="G200" s="7" t="s">
        <v>1329</v>
      </c>
    </row>
    <row r="201" customFormat="false" ht="21.75" hidden="false" customHeight="true" outlineLevel="0" collapsed="false">
      <c r="A201" s="7" t="s">
        <v>1330</v>
      </c>
      <c r="B201" s="7" t="s">
        <v>99</v>
      </c>
      <c r="C201" s="7" t="s">
        <v>1090</v>
      </c>
      <c r="D201" s="7" t="s">
        <v>1331</v>
      </c>
      <c r="E201" s="7" t="s">
        <v>1092</v>
      </c>
      <c r="F201" s="7" t="s">
        <v>566</v>
      </c>
      <c r="G201" s="7" t="s">
        <v>1332</v>
      </c>
    </row>
    <row r="202" customFormat="false" ht="21.75" hidden="false" customHeight="true" outlineLevel="0" collapsed="false">
      <c r="A202" s="7" t="s">
        <v>1333</v>
      </c>
      <c r="B202" s="7" t="s">
        <v>99</v>
      </c>
      <c r="C202" s="7" t="s">
        <v>1095</v>
      </c>
      <c r="D202" s="7" t="s">
        <v>1334</v>
      </c>
      <c r="E202" s="7" t="s">
        <v>1335</v>
      </c>
      <c r="F202" s="7" t="s">
        <v>566</v>
      </c>
      <c r="G202" s="7" t="s">
        <v>1336</v>
      </c>
    </row>
    <row r="203" customFormat="false" ht="15" hidden="false" customHeight="true" outlineLevel="0" collapsed="false">
      <c r="A203" s="7" t="s">
        <v>1337</v>
      </c>
      <c r="B203" s="7" t="s">
        <v>99</v>
      </c>
      <c r="C203" s="7" t="s">
        <v>1090</v>
      </c>
      <c r="D203" s="7" t="s">
        <v>1338</v>
      </c>
      <c r="E203" s="7" t="s">
        <v>1092</v>
      </c>
      <c r="F203" s="7" t="s">
        <v>566</v>
      </c>
      <c r="G203" s="7" t="s">
        <v>1339</v>
      </c>
    </row>
    <row r="204" customFormat="false" ht="32.25" hidden="false" customHeight="true" outlineLevel="0" collapsed="false">
      <c r="A204" s="7" t="s">
        <v>1340</v>
      </c>
      <c r="B204" s="7" t="s">
        <v>99</v>
      </c>
      <c r="C204" s="7" t="s">
        <v>1095</v>
      </c>
      <c r="D204" s="7" t="s">
        <v>1341</v>
      </c>
      <c r="E204" s="7" t="s">
        <v>1342</v>
      </c>
      <c r="F204" s="7" t="s">
        <v>566</v>
      </c>
      <c r="G204" s="7" t="s">
        <v>1343</v>
      </c>
    </row>
    <row r="205" customFormat="false" ht="21.75" hidden="false" customHeight="true" outlineLevel="0" collapsed="false">
      <c r="A205" s="7" t="s">
        <v>1344</v>
      </c>
      <c r="B205" s="7" t="s">
        <v>99</v>
      </c>
      <c r="C205" s="7" t="s">
        <v>1090</v>
      </c>
      <c r="D205" s="7" t="s">
        <v>1345</v>
      </c>
      <c r="E205" s="7" t="s">
        <v>1092</v>
      </c>
      <c r="F205" s="7" t="s">
        <v>566</v>
      </c>
      <c r="G205" s="7" t="s">
        <v>1346</v>
      </c>
    </row>
    <row r="206" customFormat="false" ht="53.25" hidden="false" customHeight="true" outlineLevel="0" collapsed="false">
      <c r="A206" s="7" t="s">
        <v>1347</v>
      </c>
      <c r="B206" s="7" t="s">
        <v>99</v>
      </c>
      <c r="C206" s="7" t="s">
        <v>1095</v>
      </c>
      <c r="D206" s="7" t="s">
        <v>1348</v>
      </c>
      <c r="E206" s="7" t="s">
        <v>1349</v>
      </c>
      <c r="F206" s="7" t="s">
        <v>566</v>
      </c>
      <c r="G206" s="7" t="s">
        <v>1350</v>
      </c>
    </row>
    <row r="207" customFormat="false" ht="15" hidden="false" customHeight="true" outlineLevel="0" collapsed="false">
      <c r="A207" s="7" t="s">
        <v>1351</v>
      </c>
      <c r="B207" s="7" t="s">
        <v>106</v>
      </c>
      <c r="C207" s="7" t="s">
        <v>1090</v>
      </c>
      <c r="D207" s="7" t="s">
        <v>1352</v>
      </c>
      <c r="E207" s="7" t="s">
        <v>1092</v>
      </c>
      <c r="F207" s="7" t="s">
        <v>566</v>
      </c>
      <c r="G207" s="7" t="s">
        <v>1353</v>
      </c>
    </row>
    <row r="208" customFormat="false" ht="42.75" hidden="false" customHeight="true" outlineLevel="0" collapsed="false">
      <c r="A208" s="7" t="s">
        <v>1354</v>
      </c>
      <c r="B208" s="7" t="s">
        <v>106</v>
      </c>
      <c r="C208" s="7" t="s">
        <v>1095</v>
      </c>
      <c r="D208" s="7" t="s">
        <v>1355</v>
      </c>
      <c r="E208" s="7" t="s">
        <v>1356</v>
      </c>
      <c r="F208" s="7" t="s">
        <v>566</v>
      </c>
      <c r="G208" s="7" t="s">
        <v>1357</v>
      </c>
    </row>
    <row r="209" customFormat="false" ht="15" hidden="false" customHeight="true" outlineLevel="0" collapsed="false">
      <c r="A209" s="7" t="s">
        <v>1358</v>
      </c>
      <c r="B209" s="7" t="s">
        <v>106</v>
      </c>
      <c r="C209" s="7" t="s">
        <v>1090</v>
      </c>
      <c r="D209" s="7" t="s">
        <v>1359</v>
      </c>
      <c r="E209" s="7" t="s">
        <v>1092</v>
      </c>
      <c r="F209" s="7" t="s">
        <v>566</v>
      </c>
      <c r="G209" s="7" t="s">
        <v>1360</v>
      </c>
    </row>
    <row r="210" customFormat="false" ht="32.25" hidden="false" customHeight="true" outlineLevel="0" collapsed="false">
      <c r="A210" s="7" t="s">
        <v>1361</v>
      </c>
      <c r="B210" s="7" t="s">
        <v>106</v>
      </c>
      <c r="C210" s="7" t="s">
        <v>1095</v>
      </c>
      <c r="D210" s="7" t="s">
        <v>1362</v>
      </c>
      <c r="E210" s="7" t="s">
        <v>1363</v>
      </c>
      <c r="F210" s="7" t="s">
        <v>566</v>
      </c>
      <c r="G210" s="7" t="s">
        <v>1364</v>
      </c>
    </row>
    <row r="211" customFormat="false" ht="15" hidden="false" customHeight="true" outlineLevel="0" collapsed="false">
      <c r="A211" s="7" t="s">
        <v>1365</v>
      </c>
      <c r="B211" s="7" t="s">
        <v>110</v>
      </c>
      <c r="C211" s="7" t="s">
        <v>1090</v>
      </c>
      <c r="D211" s="7" t="s">
        <v>1366</v>
      </c>
      <c r="E211" s="7" t="s">
        <v>1092</v>
      </c>
      <c r="F211" s="7" t="s">
        <v>566</v>
      </c>
      <c r="G211" s="7" t="s">
        <v>1367</v>
      </c>
    </row>
    <row r="212" customFormat="false" ht="42.75" hidden="false" customHeight="true" outlineLevel="0" collapsed="false">
      <c r="A212" s="7" t="s">
        <v>1368</v>
      </c>
      <c r="B212" s="7" t="s">
        <v>110</v>
      </c>
      <c r="C212" s="7" t="s">
        <v>1095</v>
      </c>
      <c r="D212" s="7" t="s">
        <v>1369</v>
      </c>
      <c r="E212" s="7" t="s">
        <v>1370</v>
      </c>
      <c r="F212" s="7" t="s">
        <v>566</v>
      </c>
      <c r="G212" s="7" t="s">
        <v>1371</v>
      </c>
    </row>
    <row r="213" customFormat="false" ht="15" hidden="false" customHeight="true" outlineLevel="0" collapsed="false">
      <c r="A213" s="7" t="s">
        <v>1372</v>
      </c>
      <c r="B213" s="7" t="s">
        <v>110</v>
      </c>
      <c r="C213" s="7" t="s">
        <v>1090</v>
      </c>
      <c r="D213" s="7" t="s">
        <v>1373</v>
      </c>
      <c r="E213" s="7" t="s">
        <v>1092</v>
      </c>
      <c r="F213" s="7" t="s">
        <v>566</v>
      </c>
      <c r="G213" s="7" t="s">
        <v>1374</v>
      </c>
    </row>
    <row r="214" customFormat="false" ht="32.25" hidden="false" customHeight="true" outlineLevel="0" collapsed="false">
      <c r="A214" s="7" t="s">
        <v>1375</v>
      </c>
      <c r="B214" s="7" t="s">
        <v>110</v>
      </c>
      <c r="C214" s="7" t="s">
        <v>1095</v>
      </c>
      <c r="D214" s="7" t="s">
        <v>1376</v>
      </c>
      <c r="E214" s="7" t="s">
        <v>1377</v>
      </c>
      <c r="F214" s="7" t="s">
        <v>566</v>
      </c>
      <c r="G214" s="7" t="s">
        <v>1378</v>
      </c>
    </row>
    <row r="215" customFormat="false" ht="21.75" hidden="false" customHeight="true" outlineLevel="0" collapsed="false">
      <c r="A215" s="7" t="s">
        <v>1379</v>
      </c>
      <c r="B215" s="7" t="s">
        <v>114</v>
      </c>
      <c r="C215" s="7" t="s">
        <v>1090</v>
      </c>
      <c r="D215" s="7" t="s">
        <v>1380</v>
      </c>
      <c r="E215" s="7" t="s">
        <v>1092</v>
      </c>
      <c r="F215" s="7" t="s">
        <v>566</v>
      </c>
      <c r="G215" s="7" t="s">
        <v>1381</v>
      </c>
    </row>
    <row r="216" customFormat="false" ht="42.75" hidden="false" customHeight="true" outlineLevel="0" collapsed="false">
      <c r="A216" s="7" t="s">
        <v>1382</v>
      </c>
      <c r="B216" s="7" t="s">
        <v>114</v>
      </c>
      <c r="C216" s="7" t="s">
        <v>1095</v>
      </c>
      <c r="D216" s="7" t="s">
        <v>1383</v>
      </c>
      <c r="E216" s="7" t="s">
        <v>1384</v>
      </c>
      <c r="F216" s="7" t="s">
        <v>566</v>
      </c>
      <c r="G216" s="7" t="s">
        <v>1385</v>
      </c>
    </row>
    <row r="217" customFormat="false" ht="32.25" hidden="false" customHeight="true" outlineLevel="0" collapsed="false">
      <c r="A217" s="7" t="s">
        <v>1386</v>
      </c>
      <c r="B217" s="7" t="s">
        <v>128</v>
      </c>
      <c r="C217" s="7" t="s">
        <v>1090</v>
      </c>
      <c r="D217" s="7" t="s">
        <v>1387</v>
      </c>
      <c r="E217" s="7" t="s">
        <v>1092</v>
      </c>
      <c r="F217" s="7" t="s">
        <v>566</v>
      </c>
      <c r="G217" s="7" t="s">
        <v>1388</v>
      </c>
    </row>
    <row r="218" customFormat="false" ht="53.25" hidden="false" customHeight="true" outlineLevel="0" collapsed="false">
      <c r="A218" s="7" t="s">
        <v>1389</v>
      </c>
      <c r="B218" s="7" t="s">
        <v>128</v>
      </c>
      <c r="C218" s="7" t="s">
        <v>1095</v>
      </c>
      <c r="D218" s="7" t="s">
        <v>1390</v>
      </c>
      <c r="E218" s="7" t="s">
        <v>1391</v>
      </c>
      <c r="F218" s="7" t="s">
        <v>566</v>
      </c>
      <c r="G218" s="7" t="s">
        <v>1392</v>
      </c>
    </row>
    <row r="219" customFormat="false" ht="21.75" hidden="false" customHeight="true" outlineLevel="0" collapsed="false">
      <c r="A219" s="7" t="s">
        <v>1393</v>
      </c>
      <c r="B219" s="7" t="s">
        <v>128</v>
      </c>
      <c r="C219" s="7" t="s">
        <v>1090</v>
      </c>
      <c r="D219" s="7" t="s">
        <v>1394</v>
      </c>
      <c r="E219" s="7" t="s">
        <v>1092</v>
      </c>
      <c r="F219" s="7" t="s">
        <v>566</v>
      </c>
      <c r="G219" s="7" t="s">
        <v>1395</v>
      </c>
    </row>
    <row r="220" customFormat="false" ht="63.75" hidden="false" customHeight="true" outlineLevel="0" collapsed="false">
      <c r="A220" s="7" t="s">
        <v>1396</v>
      </c>
      <c r="B220" s="7" t="s">
        <v>128</v>
      </c>
      <c r="C220" s="7" t="s">
        <v>1095</v>
      </c>
      <c r="D220" s="7" t="s">
        <v>1397</v>
      </c>
      <c r="E220" s="7" t="s">
        <v>1398</v>
      </c>
      <c r="F220" s="7" t="s">
        <v>566</v>
      </c>
      <c r="G220" s="7" t="s">
        <v>1399</v>
      </c>
    </row>
    <row r="221" customFormat="false" ht="21.75" hidden="false" customHeight="true" outlineLevel="0" collapsed="false">
      <c r="A221" s="7" t="s">
        <v>1400</v>
      </c>
      <c r="B221" s="7" t="s">
        <v>128</v>
      </c>
      <c r="C221" s="7" t="s">
        <v>1090</v>
      </c>
      <c r="D221" s="7" t="s">
        <v>1401</v>
      </c>
      <c r="E221" s="7" t="s">
        <v>1092</v>
      </c>
      <c r="F221" s="7" t="s">
        <v>566</v>
      </c>
      <c r="G221" s="7" t="s">
        <v>1402</v>
      </c>
    </row>
    <row r="222" customFormat="false" ht="63.75" hidden="false" customHeight="true" outlineLevel="0" collapsed="false">
      <c r="A222" s="7" t="s">
        <v>1403</v>
      </c>
      <c r="B222" s="7" t="s">
        <v>128</v>
      </c>
      <c r="C222" s="7" t="s">
        <v>1095</v>
      </c>
      <c r="D222" s="7" t="s">
        <v>1404</v>
      </c>
      <c r="E222" s="7" t="s">
        <v>1405</v>
      </c>
      <c r="F222" s="7" t="s">
        <v>566</v>
      </c>
      <c r="G222" s="7" t="s">
        <v>1406</v>
      </c>
    </row>
    <row r="223" customFormat="false" ht="15" hidden="false" customHeight="true" outlineLevel="0" collapsed="false">
      <c r="A223" s="7" t="s">
        <v>1407</v>
      </c>
      <c r="B223" s="7" t="s">
        <v>99</v>
      </c>
      <c r="C223" s="7" t="s">
        <v>1090</v>
      </c>
      <c r="D223" s="7" t="s">
        <v>1408</v>
      </c>
      <c r="E223" s="7" t="s">
        <v>1092</v>
      </c>
      <c r="F223" s="7" t="s">
        <v>566</v>
      </c>
      <c r="G223" s="7" t="s">
        <v>1409</v>
      </c>
    </row>
    <row r="224" customFormat="false" ht="42.75" hidden="false" customHeight="true" outlineLevel="0" collapsed="false">
      <c r="A224" s="7" t="s">
        <v>1410</v>
      </c>
      <c r="B224" s="7" t="s">
        <v>99</v>
      </c>
      <c r="C224" s="7" t="s">
        <v>1095</v>
      </c>
      <c r="D224" s="7" t="s">
        <v>1411</v>
      </c>
      <c r="E224" s="7" t="s">
        <v>1412</v>
      </c>
      <c r="F224" s="7" t="s">
        <v>566</v>
      </c>
      <c r="G224" s="7" t="s">
        <v>1413</v>
      </c>
    </row>
    <row r="225" customFormat="false" ht="15" hidden="false" customHeight="true" outlineLevel="0" collapsed="false">
      <c r="A225" s="7" t="s">
        <v>1414</v>
      </c>
      <c r="B225" s="7" t="s">
        <v>75</v>
      </c>
      <c r="C225" s="7" t="s">
        <v>1090</v>
      </c>
      <c r="D225" s="7" t="s">
        <v>1415</v>
      </c>
      <c r="E225" s="7" t="s">
        <v>1092</v>
      </c>
      <c r="F225" s="7" t="s">
        <v>566</v>
      </c>
      <c r="G225" s="7" t="s">
        <v>1416</v>
      </c>
    </row>
    <row r="226" customFormat="false" ht="53.25" hidden="false" customHeight="true" outlineLevel="0" collapsed="false">
      <c r="A226" s="7" t="s">
        <v>1417</v>
      </c>
      <c r="B226" s="7" t="s">
        <v>75</v>
      </c>
      <c r="C226" s="7" t="s">
        <v>1095</v>
      </c>
      <c r="D226" s="7" t="s">
        <v>1418</v>
      </c>
      <c r="E226" s="7" t="s">
        <v>1419</v>
      </c>
      <c r="F226" s="7" t="s">
        <v>566</v>
      </c>
      <c r="G226" s="7" t="s">
        <v>1420</v>
      </c>
    </row>
    <row r="227" customFormat="false" ht="15" hidden="false" customHeight="true" outlineLevel="0" collapsed="false">
      <c r="A227" s="7" t="s">
        <v>1421</v>
      </c>
      <c r="B227" s="7" t="s">
        <v>75</v>
      </c>
      <c r="C227" s="7" t="s">
        <v>1090</v>
      </c>
      <c r="D227" s="7" t="s">
        <v>1422</v>
      </c>
      <c r="E227" s="7" t="s">
        <v>1092</v>
      </c>
      <c r="F227" s="7" t="s">
        <v>566</v>
      </c>
      <c r="G227" s="7" t="s">
        <v>1423</v>
      </c>
    </row>
    <row r="228" customFormat="false" ht="74.25" hidden="false" customHeight="true" outlineLevel="0" collapsed="false">
      <c r="A228" s="7" t="s">
        <v>1424</v>
      </c>
      <c r="B228" s="7" t="s">
        <v>75</v>
      </c>
      <c r="C228" s="7" t="s">
        <v>1095</v>
      </c>
      <c r="D228" s="7" t="s">
        <v>1425</v>
      </c>
      <c r="E228" s="7" t="s">
        <v>1426</v>
      </c>
      <c r="F228" s="7" t="s">
        <v>566</v>
      </c>
      <c r="G228" s="7" t="s">
        <v>1427</v>
      </c>
    </row>
    <row r="229" customFormat="false" ht="21.75" hidden="false" customHeight="true" outlineLevel="0" collapsed="false">
      <c r="A229" s="7" t="s">
        <v>1428</v>
      </c>
      <c r="B229" s="7" t="s">
        <v>75</v>
      </c>
      <c r="C229" s="7" t="s">
        <v>1090</v>
      </c>
      <c r="D229" s="7" t="s">
        <v>1429</v>
      </c>
      <c r="E229" s="7" t="s">
        <v>1092</v>
      </c>
      <c r="F229" s="7" t="s">
        <v>566</v>
      </c>
      <c r="G229" s="7" t="s">
        <v>1430</v>
      </c>
    </row>
    <row r="230" customFormat="false" ht="32.25" hidden="false" customHeight="true" outlineLevel="0" collapsed="false">
      <c r="A230" s="7" t="s">
        <v>1431</v>
      </c>
      <c r="B230" s="7" t="s">
        <v>75</v>
      </c>
      <c r="C230" s="7" t="s">
        <v>1095</v>
      </c>
      <c r="D230" s="7" t="s">
        <v>1432</v>
      </c>
      <c r="E230" s="7" t="s">
        <v>1433</v>
      </c>
      <c r="F230" s="7" t="s">
        <v>566</v>
      </c>
      <c r="G230" s="7" t="s">
        <v>1434</v>
      </c>
    </row>
    <row r="231" customFormat="false" ht="53.25" hidden="false" customHeight="true" outlineLevel="0" collapsed="false">
      <c r="A231" s="7" t="s">
        <v>1435</v>
      </c>
      <c r="B231" s="7" t="s">
        <v>93</v>
      </c>
      <c r="C231" s="7" t="s">
        <v>768</v>
      </c>
      <c r="D231" s="7" t="s">
        <v>1436</v>
      </c>
      <c r="E231" s="7" t="s">
        <v>1437</v>
      </c>
      <c r="F231" s="7" t="s">
        <v>566</v>
      </c>
      <c r="G231" s="7" t="s">
        <v>1438</v>
      </c>
    </row>
    <row r="232" customFormat="false" ht="53.25" hidden="false" customHeight="true" outlineLevel="0" collapsed="false">
      <c r="A232" s="7" t="s">
        <v>1439</v>
      </c>
      <c r="B232" s="7" t="s">
        <v>93</v>
      </c>
      <c r="C232" s="7" t="s">
        <v>768</v>
      </c>
      <c r="D232" s="7" t="s">
        <v>1440</v>
      </c>
      <c r="E232" s="7" t="s">
        <v>1441</v>
      </c>
      <c r="F232" s="7" t="s">
        <v>566</v>
      </c>
      <c r="G232" s="7" t="s">
        <v>1442</v>
      </c>
    </row>
    <row r="233" customFormat="false" ht="42.75" hidden="false" customHeight="true" outlineLevel="0" collapsed="false">
      <c r="A233" s="7" t="s">
        <v>1443</v>
      </c>
      <c r="B233" s="7" t="s">
        <v>93</v>
      </c>
      <c r="C233" s="7" t="s">
        <v>578</v>
      </c>
      <c r="D233" s="7" t="s">
        <v>1444</v>
      </c>
      <c r="E233" s="7" t="s">
        <v>1445</v>
      </c>
      <c r="F233" s="7" t="s">
        <v>566</v>
      </c>
      <c r="G233" s="7" t="s">
        <v>1446</v>
      </c>
    </row>
    <row r="234" customFormat="false" ht="42.75" hidden="false" customHeight="true" outlineLevel="0" collapsed="false">
      <c r="A234" s="7" t="s">
        <v>1447</v>
      </c>
      <c r="B234" s="7" t="s">
        <v>93</v>
      </c>
      <c r="C234" s="7" t="s">
        <v>573</v>
      </c>
      <c r="D234" s="7" t="s">
        <v>1448</v>
      </c>
      <c r="E234" s="7" t="s">
        <v>1449</v>
      </c>
      <c r="F234" s="7" t="s">
        <v>566</v>
      </c>
      <c r="G234" s="7" t="s">
        <v>1450</v>
      </c>
    </row>
    <row r="235" customFormat="false" ht="53.25" hidden="false" customHeight="true" outlineLevel="0" collapsed="false">
      <c r="A235" s="7" t="s">
        <v>1451</v>
      </c>
      <c r="B235" s="7" t="s">
        <v>134</v>
      </c>
      <c r="C235" s="7" t="s">
        <v>578</v>
      </c>
      <c r="D235" s="7" t="s">
        <v>1452</v>
      </c>
      <c r="E235" s="7" t="s">
        <v>1453</v>
      </c>
      <c r="F235" s="7" t="s">
        <v>566</v>
      </c>
      <c r="G235" s="7" t="s">
        <v>1454</v>
      </c>
    </row>
    <row r="236" customFormat="false" ht="105.75" hidden="false" customHeight="true" outlineLevel="0" collapsed="false">
      <c r="A236" s="7" t="s">
        <v>1455</v>
      </c>
      <c r="B236" s="7" t="s">
        <v>134</v>
      </c>
      <c r="C236" s="7" t="s">
        <v>573</v>
      </c>
      <c r="D236" s="7" t="s">
        <v>1456</v>
      </c>
      <c r="E236" s="7" t="s">
        <v>1457</v>
      </c>
      <c r="F236" s="7" t="s">
        <v>566</v>
      </c>
      <c r="G236" s="7" t="s">
        <v>1458</v>
      </c>
    </row>
  </sheetData>
  <autoFilter ref="A1:G2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0"/>
    <col collapsed="false" customWidth="true" hidden="false" outlineLevel="0" max="3" min="3" style="1" width="34"/>
    <col collapsed="false" customWidth="true" hidden="false" outlineLevel="0" max="4" min="4" style="1" width="30"/>
    <col collapsed="false" customWidth="true" hidden="false" outlineLevel="0" max="5" min="5" style="1" width="60"/>
    <col collapsed="false" customWidth="true" hidden="false" outlineLevel="0" max="6" min="6" style="1" width="52"/>
    <col collapsed="false" customWidth="true" hidden="false" outlineLevel="0" max="7" min="7" style="1" width="11"/>
    <col collapsed="false" customWidth="true" hidden="false" outlineLevel="0" max="8" min="8" style="1" width="24"/>
  </cols>
  <sheetData>
    <row r="1" customFormat="false" ht="15" hidden="false" customHeight="true" outlineLevel="0" collapsed="false">
      <c r="A1" s="6" t="s">
        <v>557</v>
      </c>
      <c r="B1" s="6" t="s">
        <v>19</v>
      </c>
      <c r="C1" s="6" t="s">
        <v>1459</v>
      </c>
      <c r="D1" s="6" t="s">
        <v>1460</v>
      </c>
      <c r="E1" s="6" t="s">
        <v>1461</v>
      </c>
      <c r="F1" s="6" t="s">
        <v>560</v>
      </c>
      <c r="G1" s="6" t="s">
        <v>506</v>
      </c>
      <c r="H1" s="6" t="s">
        <v>561</v>
      </c>
    </row>
    <row r="2" customFormat="false" ht="32.25" hidden="false" customHeight="true" outlineLevel="0" collapsed="false">
      <c r="A2" s="7" t="s">
        <v>1462</v>
      </c>
      <c r="B2" s="7" t="s">
        <v>93</v>
      </c>
      <c r="C2" s="7" t="s">
        <v>1463</v>
      </c>
      <c r="D2" s="7" t="s">
        <v>1464</v>
      </c>
      <c r="E2" s="7" t="s">
        <v>1465</v>
      </c>
      <c r="F2" s="7" t="s">
        <v>1466</v>
      </c>
      <c r="G2" s="7" t="s">
        <v>566</v>
      </c>
      <c r="H2" s="7" t="s">
        <v>1467</v>
      </c>
    </row>
    <row r="3" customFormat="false" ht="42.75" hidden="false" customHeight="true" outlineLevel="0" collapsed="false">
      <c r="A3" s="7" t="s">
        <v>1468</v>
      </c>
      <c r="B3" s="7" t="s">
        <v>93</v>
      </c>
      <c r="C3" s="7" t="s">
        <v>1463</v>
      </c>
      <c r="D3" s="7" t="s">
        <v>1469</v>
      </c>
      <c r="E3" s="7" t="s">
        <v>1470</v>
      </c>
      <c r="F3" s="7" t="s">
        <v>1471</v>
      </c>
      <c r="G3" s="7" t="s">
        <v>566</v>
      </c>
      <c r="H3" s="7" t="s">
        <v>1472</v>
      </c>
    </row>
    <row r="4" customFormat="false" ht="53.25" hidden="false" customHeight="true" outlineLevel="0" collapsed="false">
      <c r="A4" s="7" t="s">
        <v>1473</v>
      </c>
      <c r="B4" s="7" t="s">
        <v>93</v>
      </c>
      <c r="C4" s="7" t="s">
        <v>1463</v>
      </c>
      <c r="D4" s="7" t="s">
        <v>1474</v>
      </c>
      <c r="E4" s="7" t="s">
        <v>1475</v>
      </c>
      <c r="F4" s="7" t="s">
        <v>1471</v>
      </c>
      <c r="G4" s="7" t="s">
        <v>566</v>
      </c>
      <c r="H4" s="7" t="s">
        <v>1476</v>
      </c>
    </row>
    <row r="5" customFormat="false" ht="53.25" hidden="false" customHeight="true" outlineLevel="0" collapsed="false">
      <c r="A5" s="7" t="s">
        <v>1477</v>
      </c>
      <c r="B5" s="7" t="s">
        <v>93</v>
      </c>
      <c r="C5" s="7" t="s">
        <v>1463</v>
      </c>
      <c r="D5" s="7" t="s">
        <v>1478</v>
      </c>
      <c r="E5" s="7" t="s">
        <v>1479</v>
      </c>
      <c r="F5" s="7" t="s">
        <v>1480</v>
      </c>
      <c r="G5" s="7" t="s">
        <v>566</v>
      </c>
      <c r="H5" s="7" t="s">
        <v>1481</v>
      </c>
    </row>
    <row r="6" customFormat="false" ht="53.25" hidden="false" customHeight="true" outlineLevel="0" collapsed="false">
      <c r="A6" s="7" t="s">
        <v>1482</v>
      </c>
      <c r="B6" s="7" t="s">
        <v>93</v>
      </c>
      <c r="C6" s="7" t="s">
        <v>1463</v>
      </c>
      <c r="D6" s="7" t="s">
        <v>1483</v>
      </c>
      <c r="E6" s="7" t="s">
        <v>1484</v>
      </c>
      <c r="F6" s="7" t="s">
        <v>1485</v>
      </c>
      <c r="G6" s="7" t="s">
        <v>566</v>
      </c>
      <c r="H6" s="7" t="s">
        <v>1486</v>
      </c>
    </row>
    <row r="7" customFormat="false" ht="53.25" hidden="false" customHeight="true" outlineLevel="0" collapsed="false">
      <c r="A7" s="7" t="s">
        <v>1487</v>
      </c>
      <c r="B7" s="7" t="s">
        <v>93</v>
      </c>
      <c r="C7" s="7" t="s">
        <v>1463</v>
      </c>
      <c r="D7" s="7" t="s">
        <v>1488</v>
      </c>
      <c r="E7" s="7" t="s">
        <v>1489</v>
      </c>
      <c r="F7" s="7" t="s">
        <v>1490</v>
      </c>
      <c r="G7" s="7" t="s">
        <v>566</v>
      </c>
      <c r="H7" s="7" t="s">
        <v>1491</v>
      </c>
    </row>
    <row r="8" customFormat="false" ht="63.75" hidden="false" customHeight="true" outlineLevel="0" collapsed="false">
      <c r="A8" s="7" t="s">
        <v>1492</v>
      </c>
      <c r="B8" s="7" t="s">
        <v>93</v>
      </c>
      <c r="C8" s="7" t="s">
        <v>1463</v>
      </c>
      <c r="D8" s="7" t="s">
        <v>1493</v>
      </c>
      <c r="E8" s="7" t="s">
        <v>1494</v>
      </c>
      <c r="F8" s="7" t="s">
        <v>1495</v>
      </c>
      <c r="G8" s="7" t="s">
        <v>566</v>
      </c>
      <c r="H8" s="7" t="s">
        <v>1496</v>
      </c>
    </row>
    <row r="9" customFormat="false" ht="53.25" hidden="false" customHeight="true" outlineLevel="0" collapsed="false">
      <c r="A9" s="7" t="s">
        <v>1497</v>
      </c>
      <c r="B9" s="7" t="s">
        <v>93</v>
      </c>
      <c r="C9" s="7" t="s">
        <v>1463</v>
      </c>
      <c r="D9" s="7" t="s">
        <v>1498</v>
      </c>
      <c r="E9" s="7" t="s">
        <v>1499</v>
      </c>
      <c r="F9" s="7" t="s">
        <v>1480</v>
      </c>
      <c r="G9" s="7" t="s">
        <v>566</v>
      </c>
      <c r="H9" s="7" t="s">
        <v>1500</v>
      </c>
    </row>
    <row r="10" customFormat="false" ht="32.25" hidden="false" customHeight="true" outlineLevel="0" collapsed="false">
      <c r="A10" s="7" t="s">
        <v>1501</v>
      </c>
      <c r="B10" s="7" t="s">
        <v>41</v>
      </c>
      <c r="C10" s="7" t="s">
        <v>1502</v>
      </c>
      <c r="D10" s="7" t="s">
        <v>1503</v>
      </c>
      <c r="E10" s="7" t="s">
        <v>1504</v>
      </c>
      <c r="F10" s="7" t="s">
        <v>1505</v>
      </c>
      <c r="G10" s="7" t="s">
        <v>566</v>
      </c>
      <c r="H10" s="7" t="s">
        <v>1506</v>
      </c>
    </row>
    <row r="11" customFormat="false" ht="32.25" hidden="false" customHeight="true" outlineLevel="0" collapsed="false">
      <c r="A11" s="7" t="s">
        <v>1507</v>
      </c>
      <c r="B11" s="7" t="s">
        <v>41</v>
      </c>
      <c r="C11" s="7" t="s">
        <v>1502</v>
      </c>
      <c r="D11" s="7" t="s">
        <v>1508</v>
      </c>
      <c r="E11" s="7" t="s">
        <v>1509</v>
      </c>
      <c r="F11" s="7" t="s">
        <v>1505</v>
      </c>
      <c r="G11" s="7" t="s">
        <v>566</v>
      </c>
      <c r="H11" s="7" t="s">
        <v>1510</v>
      </c>
    </row>
    <row r="12" customFormat="false" ht="32.25" hidden="false" customHeight="true" outlineLevel="0" collapsed="false">
      <c r="A12" s="7" t="s">
        <v>1511</v>
      </c>
      <c r="B12" s="7" t="s">
        <v>41</v>
      </c>
      <c r="C12" s="7" t="s">
        <v>1502</v>
      </c>
      <c r="D12" s="7" t="s">
        <v>1512</v>
      </c>
      <c r="E12" s="7" t="s">
        <v>1513</v>
      </c>
      <c r="F12" s="7" t="s">
        <v>1514</v>
      </c>
      <c r="G12" s="7" t="s">
        <v>566</v>
      </c>
      <c r="H12" s="7" t="s">
        <v>1515</v>
      </c>
    </row>
    <row r="13" customFormat="false" ht="74.25" hidden="false" customHeight="true" outlineLevel="0" collapsed="false">
      <c r="A13" s="7" t="s">
        <v>1516</v>
      </c>
      <c r="B13" s="7" t="s">
        <v>41</v>
      </c>
      <c r="C13" s="7" t="s">
        <v>1502</v>
      </c>
      <c r="D13" s="7" t="s">
        <v>1517</v>
      </c>
      <c r="E13" s="7" t="s">
        <v>1518</v>
      </c>
      <c r="F13" s="7" t="s">
        <v>1519</v>
      </c>
      <c r="G13" s="7" t="s">
        <v>566</v>
      </c>
      <c r="H13" s="7" t="s">
        <v>1520</v>
      </c>
    </row>
    <row r="14" customFormat="false" ht="53.25" hidden="false" customHeight="true" outlineLevel="0" collapsed="false">
      <c r="A14" s="7" t="s">
        <v>1521</v>
      </c>
      <c r="B14" s="7" t="s">
        <v>41</v>
      </c>
      <c r="C14" s="7" t="s">
        <v>1502</v>
      </c>
      <c r="D14" s="7" t="s">
        <v>1522</v>
      </c>
      <c r="E14" s="7" t="s">
        <v>1523</v>
      </c>
      <c r="F14" s="7" t="s">
        <v>1524</v>
      </c>
      <c r="G14" s="7" t="s">
        <v>566</v>
      </c>
      <c r="H14" s="7" t="s">
        <v>1525</v>
      </c>
    </row>
    <row r="15" customFormat="false" ht="53.25" hidden="false" customHeight="true" outlineLevel="0" collapsed="false">
      <c r="A15" s="7" t="s">
        <v>1526</v>
      </c>
      <c r="B15" s="7" t="s">
        <v>41</v>
      </c>
      <c r="C15" s="7" t="s">
        <v>1502</v>
      </c>
      <c r="D15" s="7" t="s">
        <v>1527</v>
      </c>
      <c r="E15" s="7" t="s">
        <v>1528</v>
      </c>
      <c r="F15" s="7" t="s">
        <v>1514</v>
      </c>
      <c r="G15" s="7" t="s">
        <v>566</v>
      </c>
      <c r="H15" s="7" t="s">
        <v>1529</v>
      </c>
    </row>
    <row r="16" customFormat="false" ht="74.25" hidden="false" customHeight="true" outlineLevel="0" collapsed="false">
      <c r="A16" s="7" t="s">
        <v>1530</v>
      </c>
      <c r="B16" s="7" t="s">
        <v>41</v>
      </c>
      <c r="C16" s="7" t="s">
        <v>1502</v>
      </c>
      <c r="D16" s="7" t="s">
        <v>1531</v>
      </c>
      <c r="E16" s="7" t="s">
        <v>1532</v>
      </c>
      <c r="F16" s="7" t="s">
        <v>1519</v>
      </c>
      <c r="G16" s="7" t="s">
        <v>566</v>
      </c>
      <c r="H16" s="7" t="s">
        <v>1533</v>
      </c>
    </row>
    <row r="17" customFormat="false" ht="63.75" hidden="false" customHeight="true" outlineLevel="0" collapsed="false">
      <c r="A17" s="7" t="s">
        <v>1534</v>
      </c>
      <c r="B17" s="7" t="s">
        <v>41</v>
      </c>
      <c r="C17" s="7" t="s">
        <v>1502</v>
      </c>
      <c r="D17" s="7" t="s">
        <v>1535</v>
      </c>
      <c r="E17" s="7" t="s">
        <v>1536</v>
      </c>
      <c r="F17" s="7" t="s">
        <v>1537</v>
      </c>
      <c r="G17" s="7" t="s">
        <v>566</v>
      </c>
      <c r="H17" s="7" t="s">
        <v>1538</v>
      </c>
    </row>
    <row r="18" customFormat="false" ht="53.25" hidden="false" customHeight="true" outlineLevel="0" collapsed="false">
      <c r="A18" s="7" t="s">
        <v>1539</v>
      </c>
      <c r="B18" s="7" t="s">
        <v>41</v>
      </c>
      <c r="C18" s="7" t="s">
        <v>1502</v>
      </c>
      <c r="D18" s="7" t="s">
        <v>1540</v>
      </c>
      <c r="E18" s="7" t="s">
        <v>1541</v>
      </c>
      <c r="F18" s="7" t="s">
        <v>1524</v>
      </c>
      <c r="G18" s="7" t="s">
        <v>566</v>
      </c>
      <c r="H18" s="7" t="s">
        <v>1542</v>
      </c>
    </row>
    <row r="19" customFormat="false" ht="42.75" hidden="false" customHeight="true" outlineLevel="0" collapsed="false">
      <c r="A19" s="7" t="s">
        <v>1543</v>
      </c>
      <c r="B19" s="7" t="s">
        <v>34</v>
      </c>
      <c r="C19" s="7" t="s">
        <v>1544</v>
      </c>
      <c r="D19" s="7" t="s">
        <v>1545</v>
      </c>
      <c r="E19" s="7" t="s">
        <v>1546</v>
      </c>
      <c r="F19" s="7" t="s">
        <v>1547</v>
      </c>
      <c r="G19" s="7" t="s">
        <v>566</v>
      </c>
      <c r="H19" s="7" t="s">
        <v>1548</v>
      </c>
    </row>
    <row r="20" customFormat="false" ht="32.25" hidden="false" customHeight="true" outlineLevel="0" collapsed="false">
      <c r="A20" s="7" t="s">
        <v>1549</v>
      </c>
      <c r="B20" s="7" t="s">
        <v>34</v>
      </c>
      <c r="C20" s="7" t="s">
        <v>1544</v>
      </c>
      <c r="D20" s="7" t="s">
        <v>1550</v>
      </c>
      <c r="E20" s="7" t="s">
        <v>1551</v>
      </c>
      <c r="F20" s="7" t="s">
        <v>1552</v>
      </c>
      <c r="G20" s="7" t="s">
        <v>566</v>
      </c>
      <c r="H20" s="7" t="s">
        <v>1553</v>
      </c>
    </row>
    <row r="21" customFormat="false" ht="63.75" hidden="false" customHeight="true" outlineLevel="0" collapsed="false">
      <c r="A21" s="7" t="s">
        <v>1554</v>
      </c>
      <c r="B21" s="7" t="s">
        <v>34</v>
      </c>
      <c r="C21" s="7" t="s">
        <v>1544</v>
      </c>
      <c r="D21" s="7" t="s">
        <v>1555</v>
      </c>
      <c r="E21" s="7" t="s">
        <v>1556</v>
      </c>
      <c r="F21" s="7" t="s">
        <v>1557</v>
      </c>
      <c r="G21" s="7" t="s">
        <v>566</v>
      </c>
      <c r="H21" s="7" t="s">
        <v>1558</v>
      </c>
    </row>
    <row r="22" customFormat="false" ht="42.75" hidden="false" customHeight="true" outlineLevel="0" collapsed="false">
      <c r="A22" s="7" t="s">
        <v>1559</v>
      </c>
      <c r="B22" s="7" t="s">
        <v>34</v>
      </c>
      <c r="C22" s="7" t="s">
        <v>1544</v>
      </c>
      <c r="D22" s="7" t="s">
        <v>1560</v>
      </c>
      <c r="E22" s="7" t="s">
        <v>1561</v>
      </c>
      <c r="F22" s="7" t="s">
        <v>1562</v>
      </c>
      <c r="G22" s="7" t="s">
        <v>566</v>
      </c>
      <c r="H22" s="7" t="s">
        <v>1563</v>
      </c>
    </row>
    <row r="23" customFormat="false" ht="63.75" hidden="false" customHeight="true" outlineLevel="0" collapsed="false">
      <c r="A23" s="7" t="s">
        <v>1564</v>
      </c>
      <c r="B23" s="7" t="s">
        <v>34</v>
      </c>
      <c r="C23" s="7" t="s">
        <v>1544</v>
      </c>
      <c r="D23" s="7" t="s">
        <v>1565</v>
      </c>
      <c r="E23" s="7" t="s">
        <v>1566</v>
      </c>
      <c r="F23" s="7" t="s">
        <v>1567</v>
      </c>
      <c r="G23" s="7" t="s">
        <v>566</v>
      </c>
      <c r="H23" s="7" t="s">
        <v>1568</v>
      </c>
    </row>
    <row r="24" customFormat="false" ht="53.25" hidden="false" customHeight="true" outlineLevel="0" collapsed="false">
      <c r="A24" s="7" t="s">
        <v>1569</v>
      </c>
      <c r="B24" s="7" t="s">
        <v>34</v>
      </c>
      <c r="C24" s="7" t="s">
        <v>1544</v>
      </c>
      <c r="D24" s="7" t="s">
        <v>1570</v>
      </c>
      <c r="E24" s="7" t="s">
        <v>1571</v>
      </c>
      <c r="F24" s="7" t="s">
        <v>1557</v>
      </c>
      <c r="G24" s="7" t="s">
        <v>566</v>
      </c>
      <c r="H24" s="7" t="s">
        <v>1572</v>
      </c>
    </row>
    <row r="25" customFormat="false" ht="42.75" hidden="false" customHeight="true" outlineLevel="0" collapsed="false">
      <c r="A25" s="7" t="s">
        <v>1573</v>
      </c>
      <c r="B25" s="7" t="s">
        <v>34</v>
      </c>
      <c r="C25" s="7" t="s">
        <v>1544</v>
      </c>
      <c r="D25" s="7" t="s">
        <v>1574</v>
      </c>
      <c r="E25" s="7" t="s">
        <v>1575</v>
      </c>
      <c r="F25" s="7" t="s">
        <v>1576</v>
      </c>
      <c r="G25" s="7" t="s">
        <v>566</v>
      </c>
      <c r="H25" s="7" t="s">
        <v>1577</v>
      </c>
    </row>
    <row r="26" customFormat="false" ht="42.75" hidden="false" customHeight="true" outlineLevel="0" collapsed="false">
      <c r="A26" s="7" t="s">
        <v>1578</v>
      </c>
      <c r="B26" s="7" t="s">
        <v>119</v>
      </c>
      <c r="C26" s="7" t="s">
        <v>1579</v>
      </c>
      <c r="D26" s="7" t="s">
        <v>1580</v>
      </c>
      <c r="E26" s="7" t="s">
        <v>1581</v>
      </c>
      <c r="F26" s="7" t="s">
        <v>1582</v>
      </c>
      <c r="G26" s="7" t="s">
        <v>566</v>
      </c>
      <c r="H26" s="7" t="s">
        <v>1583</v>
      </c>
    </row>
    <row r="27" customFormat="false" ht="53.25" hidden="false" customHeight="true" outlineLevel="0" collapsed="false">
      <c r="A27" s="7" t="s">
        <v>1584</v>
      </c>
      <c r="B27" s="7" t="s">
        <v>119</v>
      </c>
      <c r="C27" s="7" t="s">
        <v>1579</v>
      </c>
      <c r="D27" s="7" t="s">
        <v>1585</v>
      </c>
      <c r="E27" s="7" t="s">
        <v>1586</v>
      </c>
      <c r="F27" s="7" t="s">
        <v>1587</v>
      </c>
      <c r="G27" s="7" t="s">
        <v>566</v>
      </c>
      <c r="H27" s="7" t="s">
        <v>1588</v>
      </c>
    </row>
    <row r="28" customFormat="false" ht="74.25" hidden="false" customHeight="true" outlineLevel="0" collapsed="false">
      <c r="A28" s="7" t="s">
        <v>1589</v>
      </c>
      <c r="B28" s="7" t="s">
        <v>119</v>
      </c>
      <c r="C28" s="7" t="s">
        <v>1579</v>
      </c>
      <c r="D28" s="7" t="s">
        <v>1590</v>
      </c>
      <c r="E28" s="7" t="s">
        <v>1591</v>
      </c>
      <c r="F28" s="7" t="s">
        <v>1592</v>
      </c>
      <c r="G28" s="7" t="s">
        <v>566</v>
      </c>
      <c r="H28" s="7" t="s">
        <v>1593</v>
      </c>
    </row>
    <row r="29" customFormat="false" ht="63.75" hidden="false" customHeight="true" outlineLevel="0" collapsed="false">
      <c r="A29" s="7" t="s">
        <v>1594</v>
      </c>
      <c r="B29" s="7" t="s">
        <v>119</v>
      </c>
      <c r="C29" s="7" t="s">
        <v>1579</v>
      </c>
      <c r="D29" s="7" t="s">
        <v>1595</v>
      </c>
      <c r="E29" s="7" t="s">
        <v>1596</v>
      </c>
      <c r="F29" s="7" t="s">
        <v>1597</v>
      </c>
      <c r="G29" s="7" t="s">
        <v>566</v>
      </c>
      <c r="H29" s="7" t="s">
        <v>1598</v>
      </c>
    </row>
  </sheetData>
  <autoFilter ref="A1:H2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2026-10-27T14:36:57Z</dcterms:created>
  <dc:creator>openpyxl</dc:creator>
  <dc:description/>
  <dc:language>en-US</dc:language>
  <cp:lastModifiedBy/>
  <dcterms:modified xsi:type="dcterms:W3CDTF">2026-10-29T05:52:36Z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