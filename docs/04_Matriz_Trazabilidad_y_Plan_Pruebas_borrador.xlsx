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F" sheetId="2" state="visible" r:id="rId4"/>
    <sheet name="RNF" sheetId="3" state="visible" r:id="rId5"/>
    <sheet name="Validaciones" sheetId="4" state="visible" r:id="rId6"/>
    <sheet name="Encuesta" sheetId="5" state="visible" r:id="rId7"/>
  </sheets>
  <definedNames>
    <definedName function="false" hidden="true" localSheetId="4" name="_xlnm._FilterDatabase" vbProcedure="false">Encuesta!$A$1:$E$20</definedName>
    <definedName function="false" hidden="true" localSheetId="1" name="_xlnm._FilterDatabase" vbProcedure="false">RF!$A$1:$H$20</definedName>
    <definedName function="false" hidden="true" localSheetId="2" name="_xlnm._FilterDatabase" vbProcedure="false">RNF!$A$1:$F$13</definedName>
    <definedName function="false" hidden="true" localSheetId="3" name="_xlnm._FilterDatabase" vbProcedure="false">Validaciones!$A$1:$H$51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<sst xmlns="http://schemas.openxmlformats.org/spreadsheetml/2006/main" count="736" uniqueCount="548">
  <si>
    <t xml:space="preserve">Sembrando Futuro — Matriz de trazabilidad y plan de pruebas (borrador)</t>
  </si>
  <si>
    <t xml:space="preserve">Base: ERS, con 19 requisitos funcionales y 12 requisitos no funcionales. Los casos de prueba detallados se completan en la versión final.</t>
  </si>
  <si>
    <t xml:space="preserve">Indicador</t>
  </si>
  <si>
    <t xml:space="preserve">Valor</t>
  </si>
  <si>
    <t xml:space="preserve">Requisitos funcionales</t>
  </si>
  <si>
    <t xml:space="preserve">RF con criterio de aceptación</t>
  </si>
  <si>
    <t xml:space="preserve">Requisitos no funcionales</t>
  </si>
  <si>
    <t xml:space="preserve">RNF con método de verificación</t>
  </si>
  <si>
    <t xml:space="preserve">Preguntas de encuesta trazadas</t>
  </si>
  <si>
    <t xml:space="preserve">ID</t>
  </si>
  <si>
    <t xml:space="preserve">Requisito</t>
  </si>
  <si>
    <t xml:space="preserve">Prioridad</t>
  </si>
  <si>
    <t xml:space="preserve">Caso de uso</t>
  </si>
  <si>
    <t xml:space="preserve">Diagramas</t>
  </si>
  <si>
    <t xml:space="preserve">RNF asociados</t>
  </si>
  <si>
    <t xml:space="preserve">Criterio de aceptación / prueba</t>
  </si>
  <si>
    <t xml:space="preserve">Entidad o clase</t>
  </si>
  <si>
    <t xml:space="preserve">RF-01</t>
  </si>
  <si>
    <t xml:space="preserve">Crear la cuenta de Administrador único con clave segura (OWASP ASVS)</t>
  </si>
  <si>
    <t xml:space="preserve">Alta</t>
  </si>
  <si>
    <t xml:space="preserve">CU-05</t>
  </si>
  <si>
    <t xml:space="preserve">DA-01, DS-05, DE-01</t>
  </si>
  <si>
    <t xml:space="preserve">RNF-14, RNF-16</t>
  </si>
  <si>
    <t xml:space="preserve">Caja negra, tabla de decisión: primer admin aceptado; segundo admin rechazado; clave débil rechazada</t>
  </si>
  <si>
    <t xml:space="preserve">USUARIO (rol ADMIN único)</t>
  </si>
  <si>
    <t xml:space="preserve">RF-02</t>
  </si>
  <si>
    <t xml:space="preserve">Registrar usuario (agricultor) con validaciones de seguridad y clave segura</t>
  </si>
  <si>
    <t xml:space="preserve">CU-01</t>
  </si>
  <si>
    <t xml:space="preserve">DA-01, DS-01, DE-01</t>
  </si>
  <si>
    <t xml:space="preserve">RNF-05, RNF-09, RNF-16, RNF-17</t>
  </si>
  <si>
    <t xml:space="preserve">Particiones y valores límite: clave de 9/10/11 caracteres; correo válido e inválido; nombre '0' y 'aaaaa'; OTP a los 14:59 y 15:01 min; 5 intentos; 3 reenvíos; cambio de correo; cuenta pendiente a las 24 h</t>
  </si>
  <si>
    <t xml:space="preserve">USUARIO, OTP</t>
  </si>
  <si>
    <t xml:space="preserve">RF-03</t>
  </si>
  <si>
    <t xml:space="preserve">Iniciar sesión con correo y clave segura, con sesión persistente</t>
  </si>
  <si>
    <t xml:space="preserve">CU-02</t>
  </si>
  <si>
    <t xml:space="preserve">DA-01, DS-02, DE-01</t>
  </si>
  <si>
    <t xml:space="preserve">RNF-16</t>
  </si>
  <si>
    <t xml:space="preserve">Valores límite: 4 y 5 intentos fallidos; sesión en el día 29, 30 y 31; doble clic en el botón; cuenta pendiente</t>
  </si>
  <si>
    <t xml:space="preserve">USUARIO</t>
  </si>
  <si>
    <t xml:space="preserve">RF-04</t>
  </si>
  <si>
    <t xml:space="preserve">Cerrar sesión</t>
  </si>
  <si>
    <t xml:space="preserve">Media</t>
  </si>
  <si>
    <t xml:space="preserve">DA-01, DS-02</t>
  </si>
  <si>
    <t xml:space="preserve">RNF-11, RNF-15</t>
  </si>
  <si>
    <t xml:space="preserve">Caja negra: cerrar sesión con registros PENDIENTES conserva los datos locales y avisa la cantidad</t>
  </si>
  <si>
    <t xml:space="preserve">USUARIO (sesión)</t>
  </si>
  <si>
    <t xml:space="preserve">RF-07</t>
  </si>
  <si>
    <t xml:space="preserve">Mostrar el panel de control del agricultor</t>
  </si>
  <si>
    <t xml:space="preserve">CU-07</t>
  </si>
  <si>
    <t xml:space="preserve">DA-01, DA-02</t>
  </si>
  <si>
    <t xml:space="preserve">RNF-07</t>
  </si>
  <si>
    <t xml:space="preserve">Caja negra: panel vacío con bienvenida; panel con indicadores; indicador de conexión</t>
  </si>
  <si>
    <t xml:space="preserve">(pantalla)</t>
  </si>
  <si>
    <t xml:space="preserve">RF-12</t>
  </si>
  <si>
    <t xml:space="preserve">Registrar finca</t>
  </si>
  <si>
    <t xml:space="preserve">CU-06</t>
  </si>
  <si>
    <t xml:space="preserve">DA-02, DC-01, MER</t>
  </si>
  <si>
    <t xml:space="preserve">RNF-09, RNF-22</t>
  </si>
  <si>
    <t xml:space="preserve">Caja negra: crear una finca con nombre válido; nombre basura (0, aaaaa) rechazado; una finca no se elimina (E-11); el registro sin conexión queda pendiente</t>
  </si>
  <si>
    <t xml:space="preserve">FINCA</t>
  </si>
  <si>
    <t xml:space="preserve">RF-13</t>
  </si>
  <si>
    <t xml:space="preserve">Definir el área real del ciclo</t>
  </si>
  <si>
    <t xml:space="preserve">DA-02, DC-01</t>
  </si>
  <si>
    <t xml:space="preserve">RNF-22</t>
  </si>
  <si>
    <t xml:space="preserve">Valores límite: no sembrable = bruta − 0,0001 / = bruta / &gt; bruta; conversión 1 plaza = 0,64 ha</t>
  </si>
  <si>
    <t xml:space="preserve">CICLO</t>
  </si>
  <si>
    <t xml:space="preserve">RF-14</t>
  </si>
  <si>
    <t xml:space="preserve">Registrar un ciclo de cultivo</t>
  </si>
  <si>
    <t xml:space="preserve">DA-02, DE-02, MER</t>
  </si>
  <si>
    <t xml:space="preserve">RNF-01, RNF-11</t>
  </si>
  <si>
    <t xml:space="preserve">Valores límite del área (0,0001 / 0,00009 / 10.000 / 10.000,0001 ha) y de la vigencia (0 / 1 / 50 / 51 años); caja negra: ciclo sin cultivo se rechaza, varios cultivos por ciclo, cultivo repetido rechazado (V-50); semáforo de vigencia; estado inicial ACTIVO</t>
  </si>
  <si>
    <t xml:space="preserve">CICLO, CICLO_CULTIVO</t>
  </si>
  <si>
    <t xml:space="preserve">RF-15</t>
  </si>
  <si>
    <t xml:space="preserve">Cerrar un ciclo de cultivo</t>
  </si>
  <si>
    <t xml:space="preserve">DA-02, DE-02</t>
  </si>
  <si>
    <t xml:space="preserve">RNF-09, RNF-11</t>
  </si>
  <si>
    <t xml:space="preserve">Tabla de decisión: cierre con/sin ingresos; fecha de cierre anterior a la siembra rechazada</t>
  </si>
  <si>
    <t xml:space="preserve">RF-17</t>
  </si>
  <si>
    <t xml:space="preserve">Consultar el catálogo de cultivos y distancias</t>
  </si>
  <si>
    <t xml:space="preserve">CU-03</t>
  </si>
  <si>
    <t xml:space="preserve">DA-02, DS-03</t>
  </si>
  <si>
    <t xml:space="preserve">RNF-10</t>
  </si>
  <si>
    <t xml:space="preserve">Caja negra: catálogo y fichas técnicas disponibles sin conexión después de la primera carga; la ficha trae también datos de cosecha de referencia y precio en pesos colombianos</t>
  </si>
  <si>
    <t xml:space="preserve">CULTIVO, FICHA_TECNICA</t>
  </si>
  <si>
    <t xml:space="preserve">RF-18</t>
  </si>
  <si>
    <t xml:space="preserve">Calcular matas por hectárea y advertir distancias fuera de rango</t>
  </si>
  <si>
    <t xml:space="preserve">DA-02, DS-03, DC-01</t>
  </si>
  <si>
    <t xml:space="preserve">RNF-01, RNF-22</t>
  </si>
  <si>
    <t xml:space="preserve">Valores oráculo: cuadrado d=1 → 10.000; rectangular 2×1,5 → 3.333,34; tresbolillo d=3 → 1.283,01; advertencia fuera de rango; proyección de cosecha: café 4.000 matas → 10 cargas y $ 22.200.000; redondeo siempre hacia arriba</t>
  </si>
  <si>
    <t xml:space="preserve">CalculadoraDensidad</t>
  </si>
  <si>
    <t xml:space="preserve">RF-23</t>
  </si>
  <si>
    <t xml:space="preserve">Registrar un gasto</t>
  </si>
  <si>
    <t xml:space="preserve">CU-04</t>
  </si>
  <si>
    <t xml:space="preserve">DA-02, DS-04, MER</t>
  </si>
  <si>
    <t xml:space="preserve">RNF-10, RNF-11</t>
  </si>
  <si>
    <t xml:space="preserve">Valores límite del monto: 0 / 1 / 50.000.000 / 50.000.001 COP; '1e5' y '-5' rechazados</t>
  </si>
  <si>
    <t xml:space="preserve">GASTO</t>
  </si>
  <si>
    <t xml:space="preserve">RF-24</t>
  </si>
  <si>
    <t xml:space="preserve">Registrar jornales</t>
  </si>
  <si>
    <t xml:space="preserve">Valores límite: 0,4 / 0,5 / 1,25 (inválido) / 999 / 999,5 jornales; total = jornales × valor</t>
  </si>
  <si>
    <t xml:space="preserve">JORNAL</t>
  </si>
  <si>
    <t xml:space="preserve">RF-25</t>
  </si>
  <si>
    <t xml:space="preserve">Registrar un ingreso</t>
  </si>
  <si>
    <t xml:space="preserve">Valores límite de la cantidad: 0,09 / 0,1 / 10.000 / 10.001; precio 0 / 1 / 50.000.000 / 50.000.001</t>
  </si>
  <si>
    <t xml:space="preserve">INGRESO</t>
  </si>
  <si>
    <t xml:space="preserve">RF-27</t>
  </si>
  <si>
    <t xml:space="preserve">Editar y eliminar registros</t>
  </si>
  <si>
    <t xml:space="preserve">DA-02, DS-04</t>
  </si>
  <si>
    <t xml:space="preserve">Caja negra: eliminar y deshacer a los 9 / 10 / 11 s; recálculo de saldos</t>
  </si>
  <si>
    <t xml:space="preserve">GASTO, JORNAL, INGRESO</t>
  </si>
  <si>
    <t xml:space="preserve">RF-28</t>
  </si>
  <si>
    <t xml:space="preserve">Calcular la utilidad automáticamente</t>
  </si>
  <si>
    <t xml:space="preserve">Valores oráculo: 1.000.000 − 600.000 = 400.000 (66,67 %); gastos 0 → rentabilidad 0,0 %; estimado de costos con la ficha técnica y semáforo de vigencia en el resumen</t>
  </si>
  <si>
    <t xml:space="preserve">Ciclo.utilidad()</t>
  </si>
  <si>
    <t xml:space="preserve">RF-35</t>
  </si>
  <si>
    <t xml:space="preserve">Operar sin conexión</t>
  </si>
  <si>
    <t xml:space="preserve">DA-03, DE-03, DS-04, DCP-01</t>
  </si>
  <si>
    <t xml:space="preserve">Caja negra: modo avión → registrar → cerrar pestaña → reabrir: 0 % de pérdida</t>
  </si>
  <si>
    <t xml:space="preserve">IndexedDB (envoltorio propio)</t>
  </si>
  <si>
    <t xml:space="preserve">RF-36</t>
  </si>
  <si>
    <t xml:space="preserve">Sincronizar los datos</t>
  </si>
  <si>
    <t xml:space="preserve">DA-03, DE-03, DS-04</t>
  </si>
  <si>
    <t xml:space="preserve">RNF-11</t>
  </si>
  <si>
    <t xml:space="preserve">Caso: corte a mitad del envío → sin duplicados (uuid); conflicto: gana el updated_at más reciente</t>
  </si>
  <si>
    <t xml:space="preserve">SincronizadorOffline</t>
  </si>
  <si>
    <t xml:space="preserve">RF-37</t>
  </si>
  <si>
    <t xml:space="preserve">Carga inicial de datos semilla del catálogo agrícola del Cauca</t>
  </si>
  <si>
    <t xml:space="preserve">MER, DCP-01, DS-05</t>
  </si>
  <si>
    <t xml:space="preserve">RNF-05</t>
  </si>
  <si>
    <t xml:space="preserve">Caja negra: los 3 cultivos semilla con su ficha técnica existen en MySQL y en IndexedDB; cargar dos veces no duplica</t>
  </si>
  <si>
    <t xml:space="preserve">Característica ISO/IEC 25010 (norma de calidad)</t>
  </si>
  <si>
    <t xml:space="preserve">Criterio de aceptación</t>
  </si>
  <si>
    <t xml:space="preserve">Método de verificación</t>
  </si>
  <si>
    <t xml:space="preserve">RNF-01</t>
  </si>
  <si>
    <t xml:space="preserve">Tiempo de respuesta de los cálculos</t>
  </si>
  <si>
    <t xml:space="preserve">Eficiencia de desempeño</t>
  </si>
  <si>
    <t xml:space="preserve">Tiempo de ejecución ≤ 2,0 s en el 95 % de las pruebas locales.</t>
  </si>
  <si>
    <t xml:space="preserve">Prueba de rendimiento (performance.now) en equipo de 2 GB de RAM</t>
  </si>
  <si>
    <t xml:space="preserve">Facilidad de aprendizaje</t>
  </si>
  <si>
    <t xml:space="preserve">Usabilidad</t>
  </si>
  <si>
    <t xml:space="preserve">Tasa de éxito ≥ 90 % en pruebas de usabilidad con productores rurales.</t>
  </si>
  <si>
    <t xml:space="preserve">Prueba de usabilidad con al menos 5 agricultores</t>
  </si>
  <si>
    <t xml:space="preserve">Legibilidad y accesibilidad visual</t>
  </si>
  <si>
    <t xml:space="preserve">Usabilidad (accesibilidad)</t>
  </si>
  <si>
    <t xml:space="preserve">Cumplimiento de WCAG 2.1 AA en todas las pantallas.</t>
  </si>
  <si>
    <t xml:space="preserve">Lighthouse de accesibilidad y revisión WCAG 2.1 AA</t>
  </si>
  <si>
    <t xml:space="preserve">RNF-09</t>
  </si>
  <si>
    <t xml:space="preserve">Prevención de errores, sanitización y validación estricta de entradas (Anti-Basura, Anti-XSS y Anti-SQLi)</t>
  </si>
  <si>
    <t xml:space="preserve">Seguridad</t>
  </si>
  <si>
    <t xml:space="preserve">100% de los formularios protegidos con Trim(), lista blanca Regex, anti-monotonía, debouncing y validación estricta cliente/servidor.</t>
  </si>
  <si>
    <t xml:space="preserve">Caja negra de formularios y escaneo OWASP ZAP</t>
  </si>
  <si>
    <t xml:space="preserve">Disponibilidad</t>
  </si>
  <si>
    <t xml:space="preserve">Fiabilidad (disponibilidad)</t>
  </si>
  <si>
    <t xml:space="preserve">100 % de funciones locales disponibles sin conexión; inactividad del servidor ≤ 7,2 horas al mes (SLA 99,0 %).</t>
  </si>
  <si>
    <t xml:space="preserve">Prueba en modo sin conexión y monitor externo de disponibilidad (consulta a /api/v1/salud cada 5 minutos)</t>
  </si>
  <si>
    <t xml:space="preserve">Tolerancia a fallos e integridad de datos</t>
  </si>
  <si>
    <t xml:space="preserve">Fiabilidad (tolerancia a fallos)</t>
  </si>
  <si>
    <t xml:space="preserve">0 % de pérdida de registros locales confirmados; 0 % de registros duplicados o corruptos tras una interrupción de red.</t>
  </si>
  <si>
    <t xml:space="preserve">Cierre abrupto y corte de red durante la sincronización</t>
  </si>
  <si>
    <t xml:space="preserve">RNF-14</t>
  </si>
  <si>
    <t xml:space="preserve">Confidencialidad de la información y sanitización de consultas (Anti-SQLi y Anti-XSS)</t>
  </si>
  <si>
    <t xml:space="preserve">Seguridad (confidencialidad)</t>
  </si>
  <si>
    <t xml:space="preserve">0% de vulnerabilidades SQLi/XSS y 100% de tráfico cifrado bajo HTTPS/TLS 1.2+.</t>
  </si>
  <si>
    <t xml:space="preserve">SSL Labs y OWASP ZAP; revisión de consultas ORM</t>
  </si>
  <si>
    <t xml:space="preserve">RNF-15</t>
  </si>
  <si>
    <t xml:space="preserve">Control de acceso y aislamiento de datos</t>
  </si>
  <si>
    <t xml:space="preserve">Seguridad (autenticidad)</t>
  </si>
  <si>
    <t xml:space="preserve">Bloqueo del 100 % de las peticiones no autorizadas; 0 % de datos identificables en reportes agregados.</t>
  </si>
  <si>
    <t xml:space="preserve">Pruebas de autorización por rol y revisión de los servicios de administración (AD)</t>
  </si>
  <si>
    <t xml:space="preserve">Política de contraseñas seguras (Estándar OWASP ASVS / ISO 27001)</t>
  </si>
  <si>
    <t xml:space="preserve">Rechazo automático en cliente y servidor del 100% de contraseñas que no cumplan la política OWASP ASVS / ISO 27001.</t>
  </si>
  <si>
    <t xml:space="preserve">Particiones de equivalencia y valores límite sobre claves</t>
  </si>
  <si>
    <t xml:space="preserve">RNF-17</t>
  </si>
  <si>
    <t xml:space="preserve">Protección de datos personales</t>
  </si>
  <si>
    <t xml:space="preserve">Seguridad / cumplimiento legal</t>
  </si>
  <si>
    <t xml:space="preserve">Consentimiento registrado obligatoriamente en el proceso de creación de cuenta.</t>
  </si>
  <si>
    <t xml:space="preserve">Registro de cuenta sin aceptar el tratamiento de datos</t>
  </si>
  <si>
    <t xml:space="preserve">Exactitud de los cálculos</t>
  </si>
  <si>
    <t xml:space="preserve">Adecuación funcional (exactitud)</t>
  </si>
  <si>
    <t xml:space="preserve">Error relativo ≤ 0,0001 % frente a las fórmulas teóricas.</t>
  </si>
  <si>
    <t xml:space="preserve">Pruebas unitarias con valores oráculo</t>
  </si>
  <si>
    <t xml:space="preserve">RNF-25</t>
  </si>
  <si>
    <t xml:space="preserve">Manejo Humanizado de Errores y Protección de Trazas Técnicas (UX y Ciberseguridad)</t>
  </si>
  <si>
    <t xml:space="preserve">Seguridad / usabilidad</t>
  </si>
  <si>
    <t xml:space="preserve">0% de trazas técnicas expuestas en interfaz y 100% de mensajes de error traducidos a lenguaje claro.</t>
  </si>
  <si>
    <t xml:space="preserve">Error forzado (500, SQL, red) y revisión de mensajes</t>
  </si>
  <si>
    <t xml:space="preserve">RF</t>
  </si>
  <si>
    <t xml:space="preserve">Pantalla</t>
  </si>
  <si>
    <t xml:space="preserve">Campo</t>
  </si>
  <si>
    <t xml:space="preserve">Regla</t>
  </si>
  <si>
    <t xml:space="preserve">Ejemplo válido</t>
  </si>
  <si>
    <t xml:space="preserve">Ejemplo inválido</t>
  </si>
  <si>
    <t xml:space="preserve">Mensaje de error</t>
  </si>
  <si>
    <t xml:space="preserve">V-01</t>
  </si>
  <si>
    <t xml:space="preserve">Registro</t>
  </si>
  <si>
    <t xml:space="preserve">Nombre</t>
  </si>
  <si>
    <t xml:space="preserve">2 a 60 caracteres; solo letras (con tildes y ñ), espacios, punto y guion; sin más de 3 caracteres iguales seguidos; no se aceptan datos basura ('0', '123', 'test')</t>
  </si>
  <si>
    <t xml:space="preserve">María Pérez</t>
  </si>
  <si>
    <t xml:space="preserve">aaaaa</t>
  </si>
  <si>
    <t xml:space="preserve">Escriba su nombre completo con letras (entre 2 y 60 caracteres).</t>
  </si>
  <si>
    <t xml:space="preserve">V-02</t>
  </si>
  <si>
    <t xml:space="preserve">Ubicación</t>
  </si>
  <si>
    <t xml:space="preserve">3 a 60 caracteres con las mismas reglas de caracteres que el nombre</t>
  </si>
  <si>
    <t xml:space="preserve">Caloto, Cauca</t>
  </si>
  <si>
    <t xml:space="preserve">0</t>
  </si>
  <si>
    <t xml:space="preserve">Escriba el municipio o la vereda (entre 3 y 60 caracteres).</t>
  </si>
  <si>
    <t xml:space="preserve">V-03</t>
  </si>
  <si>
    <t xml:space="preserve">Correo</t>
  </si>
  <si>
    <t xml:space="preserve">Formato RFC 5322 (por ejemplo nombre@correo.com) de hasta 254 caracteres; no distingue mayúsculas de minúsculas, por eso se guarda y se compara en minúsculas</t>
  </si>
  <si>
    <t xml:space="preserve">Maria@Correo.com</t>
  </si>
  <si>
    <t xml:space="preserve">0@0</t>
  </si>
  <si>
    <t xml:space="preserve">Escriba un correo válido, por ejemplo nombre@correo.com.</t>
  </si>
  <si>
    <t xml:space="preserve">V-04</t>
  </si>
  <si>
    <t xml:space="preserve">Confirmar correo</t>
  </si>
  <si>
    <t xml:space="preserve">Debe ser idéntico al correo, sin distinguir mayúsculas de minúsculas</t>
  </si>
  <si>
    <t xml:space="preserve">maria@correo.com</t>
  </si>
  <si>
    <t xml:space="preserve">maria@correo.co</t>
  </si>
  <si>
    <t xml:space="preserve">Los dos correos no coinciden.</t>
  </si>
  <si>
    <t xml:space="preserve">V-05</t>
  </si>
  <si>
    <t xml:space="preserve">Correo ya usado por una cuenta activa</t>
  </si>
  <si>
    <t xml:space="preserve">El correo no puede estar registrado</t>
  </si>
  <si>
    <t xml:space="preserve">ana@correo.com (nuevo)</t>
  </si>
  <si>
    <t xml:space="preserve">maria@correo.com (ya activo)</t>
  </si>
  <si>
    <t xml:space="preserve">Este correo ya está registrado. Inicie sesión.</t>
  </si>
  <si>
    <t xml:space="preserve">V-06</t>
  </si>
  <si>
    <t xml:space="preserve">Correo con cuenta pendiente</t>
  </si>
  <si>
    <t xml:space="preserve">Si la cuenta pendiente tiene menos de 24 horas, no se crea otra</t>
  </si>
  <si>
    <t xml:space="preserve">—</t>
  </si>
  <si>
    <t xml:space="preserve">maria@correo.com (pendiente)</t>
  </si>
  <si>
    <t xml:space="preserve">Este correo tiene una cuenta pendiente de activar. Revise su correo o intente de nuevo después de 24 horas.</t>
  </si>
  <si>
    <t xml:space="preserve">V-07</t>
  </si>
  <si>
    <t xml:space="preserve">Clave</t>
  </si>
  <si>
    <t xml:space="preserve">De 10 a 64 caracteres, solo letras sin tilde, números y símbolos; debe tener mayúscula, minúscula, número y al menos un símbolo de la lista !@#$%^&amp;*()_+-=[]{}|;:,.&lt;&gt;?; sin espacios, sin secuencias simples ni partes del correo o del nombre</t>
  </si>
  <si>
    <t xml:space="preserve">Cafe#Cauca2026</t>
  </si>
  <si>
    <t xml:space="preserve">abcdefghij</t>
  </si>
  <si>
    <t xml:space="preserve">La clave debe tener de 10 a 64 caracteres, con mayúscula, minúscula, número y símbolo (sin espacios ni tildes).</t>
  </si>
  <si>
    <t xml:space="preserve">V-08</t>
  </si>
  <si>
    <t xml:space="preserve">Autorización de datos (Ley 1581)</t>
  </si>
  <si>
    <t xml:space="preserve">La casilla debe estar marcada</t>
  </si>
  <si>
    <t xml:space="preserve">Marcada</t>
  </si>
  <si>
    <t xml:space="preserve">Sin marcar</t>
  </si>
  <si>
    <t xml:space="preserve">Debe aceptar el tratamiento de datos personales para registrarse.</t>
  </si>
  <si>
    <t xml:space="preserve">V-09</t>
  </si>
  <si>
    <t xml:space="preserve">Código OTP</t>
  </si>
  <si>
    <t xml:space="preserve">Formato del código</t>
  </si>
  <si>
    <t xml:space="preserve">Exactamente 6 dígitos</t>
  </si>
  <si>
    <t xml:space="preserve">482915</t>
  </si>
  <si>
    <t xml:space="preserve">48A</t>
  </si>
  <si>
    <t xml:space="preserve">Escriba los 6 dígitos del código.</t>
  </si>
  <si>
    <t xml:space="preserve">V-10</t>
  </si>
  <si>
    <t xml:space="preserve">Código incorrecto</t>
  </si>
  <si>
    <t xml:space="preserve">Hasta 5 intentos por código; muestra los intentos restantes</t>
  </si>
  <si>
    <t xml:space="preserve">Código enviado</t>
  </si>
  <si>
    <t xml:space="preserve">Código distinto al enviado</t>
  </si>
  <si>
    <t xml:space="preserve">Código incorrecto. Le quedan N intentos.</t>
  </si>
  <si>
    <t xml:space="preserve">V-11</t>
  </si>
  <si>
    <t xml:space="preserve">Código vencido</t>
  </si>
  <si>
    <t xml:space="preserve">Vale 15 minutos desde el envío</t>
  </si>
  <si>
    <t xml:space="preserve">A los 14 min 59 s</t>
  </si>
  <si>
    <t xml:space="preserve">A los 15 min 01 s</t>
  </si>
  <si>
    <t xml:space="preserve">El código venció. Pida uno nuevo.</t>
  </si>
  <si>
    <t xml:space="preserve">V-12</t>
  </si>
  <si>
    <t xml:space="preserve">Intentos agotados</t>
  </si>
  <si>
    <t xml:space="preserve">Al 5.º intento fallido el código se invalida</t>
  </si>
  <si>
    <t xml:space="preserve">6.º intento con el mismo código</t>
  </si>
  <si>
    <t xml:space="preserve">Demasiados intentos. Pida un código nuevo.</t>
  </si>
  <si>
    <t xml:space="preserve">V-13</t>
  </si>
  <si>
    <t xml:space="preserve">Espera entre reenvíos</t>
  </si>
  <si>
    <t xml:space="preserve">60 segundos entre un envío y el siguiente</t>
  </si>
  <si>
    <t xml:space="preserve">Reenvío a los 60 s</t>
  </si>
  <si>
    <t xml:space="preserve">Reenvío a los 30 s</t>
  </si>
  <si>
    <t xml:space="preserve">Espere N segundos para pedir otro código.</t>
  </si>
  <si>
    <t xml:space="preserve">V-14</t>
  </si>
  <si>
    <t xml:space="preserve">Máximo de reenvíos</t>
  </si>
  <si>
    <t xml:space="preserve">3 reenvíos por cuenta; cambiar el correo cuenta como un reenvío</t>
  </si>
  <si>
    <t xml:space="preserve">3.er reenvío</t>
  </si>
  <si>
    <t xml:space="preserve">4.º reenvío</t>
  </si>
  <si>
    <t xml:space="preserve">Llegó al máximo de 3 reenvíos. Intente de nuevo después de 24 horas.</t>
  </si>
  <si>
    <t xml:space="preserve">V-15</t>
  </si>
  <si>
    <t xml:space="preserve">Cuenta pendiente de más de 24 horas</t>
  </si>
  <si>
    <t xml:space="preserve">Se elimina automáticamente a las 24 horas</t>
  </si>
  <si>
    <t xml:space="preserve">Activar a las 23 h</t>
  </si>
  <si>
    <t xml:space="preserve">Activar a las 25 h</t>
  </si>
  <si>
    <t xml:space="preserve">La cuenta venció. Regístrese de nuevo.</t>
  </si>
  <si>
    <t xml:space="preserve">V-16</t>
  </si>
  <si>
    <t xml:space="preserve">Inicio de sesión</t>
  </si>
  <si>
    <t xml:space="preserve">Correo y clave vacíos</t>
  </si>
  <si>
    <t xml:space="preserve">Ambos campos son obligatorios</t>
  </si>
  <si>
    <t xml:space="preserve">Ambos escritos</t>
  </si>
  <si>
    <t xml:space="preserve">Clave vacía</t>
  </si>
  <si>
    <t xml:space="preserve">Escriba su correo y su clave.</t>
  </si>
  <si>
    <t xml:space="preserve">V-17</t>
  </si>
  <si>
    <t xml:space="preserve">Credenciales</t>
  </si>
  <si>
    <t xml:space="preserve">El correo (sin distinguir mayúsculas) y la clave deben coincidir con una cuenta</t>
  </si>
  <si>
    <t xml:space="preserve">Correo y clave correctos</t>
  </si>
  <si>
    <t xml:space="preserve">Clave equivocada</t>
  </si>
  <si>
    <t xml:space="preserve">Correo o clave incorrectos.</t>
  </si>
  <si>
    <t xml:space="preserve">V-18</t>
  </si>
  <si>
    <t xml:space="preserve">Bloqueo por intentos</t>
  </si>
  <si>
    <t xml:space="preserve">5 intentos fallidos seguidos bloquean 15 minutos</t>
  </si>
  <si>
    <t xml:space="preserve">4.º intento fallido</t>
  </si>
  <si>
    <t xml:space="preserve">5.º intento fallido</t>
  </si>
  <si>
    <t xml:space="preserve">Cuenta bloqueada por 15 minutos. Intente de nuevo a las HH:MM.</t>
  </si>
  <si>
    <t xml:space="preserve">V-19</t>
  </si>
  <si>
    <t xml:space="preserve">Cuenta pendiente</t>
  </si>
  <si>
    <t xml:space="preserve">La cuenta debe estar ACTIVA para iniciar sesión</t>
  </si>
  <si>
    <t xml:space="preserve">Cuenta activa</t>
  </si>
  <si>
    <t xml:space="preserve">Su cuenta aún no está activada. Ingrese el código que llegó a su correo.</t>
  </si>
  <si>
    <t xml:space="preserve">V-20</t>
  </si>
  <si>
    <t xml:space="preserve">Registros sin enviar</t>
  </si>
  <si>
    <t xml:space="preserve">Con registros PENDIENTES pide confirmación y los conserva; con un solo registro el texto dice «1 registro» y «Se conservará»</t>
  </si>
  <si>
    <t xml:space="preserve">Sin pendientes</t>
  </si>
  <si>
    <t xml:space="preserve">3 pendientes</t>
  </si>
  <si>
    <t xml:space="preserve">Tiene N registros sin enviar. Se conservarán en este dispositivo. ¿Cerrar sesión?</t>
  </si>
  <si>
    <t xml:space="preserve">V-21</t>
  </si>
  <si>
    <t xml:space="preserve">Servidor (comando crear_admin)</t>
  </si>
  <si>
    <t xml:space="preserve">Segundo administrador</t>
  </si>
  <si>
    <t xml:space="preserve">Solo puede existir una cuenta ADMIN</t>
  </si>
  <si>
    <t xml:space="preserve">Primer administrador</t>
  </si>
  <si>
    <t xml:space="preserve">Ya existe un administrador.</t>
  </si>
  <si>
    <t xml:space="preserve">V-22</t>
  </si>
  <si>
    <t xml:space="preserve">Finca y ciclo</t>
  </si>
  <si>
    <t xml:space="preserve">Nombre de finca y de lote (opcional)</t>
  </si>
  <si>
    <t xml:space="preserve">2 a 60 caracteres con las reglas de caracteres del nombre</t>
  </si>
  <si>
    <t xml:space="preserve">Lote El Mirador</t>
  </si>
  <si>
    <t xml:space="preserve">Escriba un nombre de 2 a 60 caracteres con letras.</t>
  </si>
  <si>
    <t xml:space="preserve">V-23</t>
  </si>
  <si>
    <t xml:space="preserve">Regla retirada</t>
  </si>
  <si>
    <t xml:space="preserve">Desapareció con la tabla LOTE: el nombre del lote ahora es solo un texto informativo del ciclo y puede repetirse</t>
  </si>
  <si>
    <t xml:space="preserve">-</t>
  </si>
  <si>
    <t xml:space="preserve">(Regla retirada; no se usa)</t>
  </si>
  <si>
    <t xml:space="preserve">V-24</t>
  </si>
  <si>
    <t xml:space="preserve">Ciclo</t>
  </si>
  <si>
    <t xml:space="preserve">Área bruta</t>
  </si>
  <si>
    <t xml:space="preserve">De 0,0001 a 10.000 ha</t>
  </si>
  <si>
    <t xml:space="preserve">1,0</t>
  </si>
  <si>
    <t xml:space="preserve">10.000,0001</t>
  </si>
  <si>
    <t xml:space="preserve">El área debe estar entre 0,0001 y 10.000 hectáreas.</t>
  </si>
  <si>
    <t xml:space="preserve">V-25</t>
  </si>
  <si>
    <t xml:space="preserve">Pendiente</t>
  </si>
  <si>
    <t xml:space="preserve">De 0 a 100 %</t>
  </si>
  <si>
    <t xml:space="preserve">15</t>
  </si>
  <si>
    <t xml:space="preserve">101</t>
  </si>
  <si>
    <t xml:space="preserve">La pendiente debe estar entre 0 y 100 %.</t>
  </si>
  <si>
    <t xml:space="preserve">V-26</t>
  </si>
  <si>
    <t xml:space="preserve">Área no sembrable</t>
  </si>
  <si>
    <t xml:space="preserve">Mayor o igual a 0 y estrictamente menor que el área bruta</t>
  </si>
  <si>
    <t xml:space="preserve">0,1 ha con bruta 1,0</t>
  </si>
  <si>
    <t xml:space="preserve">1,0 ha con bruta 1,0</t>
  </si>
  <si>
    <t xml:space="preserve">El área no sembrable debe ser menor que el área bruta.</t>
  </si>
  <si>
    <t xml:space="preserve">V-27</t>
  </si>
  <si>
    <t xml:space="preserve">Cultivo obligatorio</t>
  </si>
  <si>
    <t xml:space="preserve">Debe elegirse un cultivo del catálogo; un ciclo trae al menos uno</t>
  </si>
  <si>
    <t xml:space="preserve">Café</t>
  </si>
  <si>
    <t xml:space="preserve">Sin cultivo</t>
  </si>
  <si>
    <t xml:space="preserve">Seleccione un cultivo.</t>
  </si>
  <si>
    <t xml:space="preserve">V-28</t>
  </si>
  <si>
    <t xml:space="preserve">Ciclo, gastos, jornales e ingresos</t>
  </si>
  <si>
    <t xml:space="preserve">Formato de fecha</t>
  </si>
  <si>
    <t xml:space="preserve">Fecha que existe en el calendario, elegida con el selector de fecha del dispositivo (se guarda como AAAA-MM-DD); si se escribe a mano también se acepta día/mes/año</t>
  </si>
  <si>
    <t xml:space="preserve">15/11/2026</t>
  </si>
  <si>
    <t xml:space="preserve">31/02/2026</t>
  </si>
  <si>
    <t xml:space="preserve">Elija una fecha válida del calendario.</t>
  </si>
  <si>
    <t xml:space="preserve">V-29</t>
  </si>
  <si>
    <t xml:space="preserve">Fecha de cierre</t>
  </si>
  <si>
    <t xml:space="preserve">No puede ser anterior a la fecha de siembra ni posterior a hoy</t>
  </si>
  <si>
    <t xml:space="preserve">Igual a la siembra (con siembra de hoy o anterior)</t>
  </si>
  <si>
    <t xml:space="preserve">Un día antes de la siembra</t>
  </si>
  <si>
    <t xml:space="preserve">La fecha de cierre no puede ser anterior a la de siembra ni posterior a hoy.</t>
  </si>
  <si>
    <t xml:space="preserve">V-30</t>
  </si>
  <si>
    <t xml:space="preserve">Cierre sin ingresos</t>
  </si>
  <si>
    <t xml:space="preserve">Pide confirmación adicional; si confirma, cierra</t>
  </si>
  <si>
    <t xml:space="preserve">Ciclo con ingresos</t>
  </si>
  <si>
    <t xml:space="preserve">Ciclo sin ingresos</t>
  </si>
  <si>
    <t xml:space="preserve">Este ciclo no tiene ingresos. ¿Desea cerrarlo de todos modos?</t>
  </si>
  <si>
    <t xml:space="preserve">V-31</t>
  </si>
  <si>
    <t xml:space="preserve">Registro en ciclo cerrado</t>
  </si>
  <si>
    <t xml:space="preserve">Un ciclo CERRADO no admite nuevos registros</t>
  </si>
  <si>
    <t xml:space="preserve">Ciclo activo</t>
  </si>
  <si>
    <t xml:space="preserve">Ciclo cerrado</t>
  </si>
  <si>
    <t xml:space="preserve">Este ciclo está cerrado y no admite nuevos registros.</t>
  </si>
  <si>
    <t xml:space="preserve">V-32</t>
  </si>
  <si>
    <t xml:space="preserve">Cálculo de matas</t>
  </si>
  <si>
    <t xml:space="preserve">Marco de siembra</t>
  </si>
  <si>
    <t xml:space="preserve">Obligatorio: cuadrado, rectangular o tresbolillo</t>
  </si>
  <si>
    <t xml:space="preserve">Cuadrado</t>
  </si>
  <si>
    <t xml:space="preserve">Sin elegir</t>
  </si>
  <si>
    <t xml:space="preserve">Elija el marco de siembra.</t>
  </si>
  <si>
    <t xml:space="preserve">V-33</t>
  </si>
  <si>
    <t xml:space="preserve">Distancias</t>
  </si>
  <si>
    <t xml:space="preserve">De 0,01 a 10 metros</t>
  </si>
  <si>
    <t xml:space="preserve">1,5</t>
  </si>
  <si>
    <t xml:space="preserve">La distancia debe estar entre 0,01 y 10 metros.</t>
  </si>
  <si>
    <t xml:space="preserve">V-34</t>
  </si>
  <si>
    <t xml:space="preserve">Distancia fuera del rango del cultivo</t>
  </si>
  <si>
    <t xml:space="preserve">Es una advertencia: no bloquea el cálculo</t>
  </si>
  <si>
    <t xml:space="preserve">Dentro del rango</t>
  </si>
  <si>
    <t xml:space="preserve">Menor que el mínimo del catálogo</t>
  </si>
  <si>
    <t xml:space="preserve">Advertencia: la distancia está fuera del rango recomendado (mín.–máx. m). Puede continuar, pero la producción puede verse afectada.</t>
  </si>
  <si>
    <t xml:space="preserve">V-35</t>
  </si>
  <si>
    <t xml:space="preserve">Gasto</t>
  </si>
  <si>
    <t xml:space="preserve">De $1 a $50.000.000, solo números</t>
  </si>
  <si>
    <t xml:space="preserve">150000</t>
  </si>
  <si>
    <t xml:space="preserve">50000001</t>
  </si>
  <si>
    <t xml:space="preserve">El valor debe estar entre $1 y $50.000.000.</t>
  </si>
  <si>
    <t xml:space="preserve">V-36</t>
  </si>
  <si>
    <t xml:space="preserve">Formato del valor</t>
  </si>
  <si>
    <t xml:space="preserve">Solo dígitos; se rechazan letras, signos y notación científica</t>
  </si>
  <si>
    <t xml:space="preserve">1e5</t>
  </si>
  <si>
    <t xml:space="preserve">Escriba solo números.</t>
  </si>
  <si>
    <t xml:space="preserve">V-37</t>
  </si>
  <si>
    <t xml:space="preserve">Categoría</t>
  </si>
  <si>
    <t xml:space="preserve">Obligatoria: semillas, abonos, agroquímicos, herramientas, transporte u otros</t>
  </si>
  <si>
    <t xml:space="preserve">Abonos</t>
  </si>
  <si>
    <t xml:space="preserve">Elija una categoría.</t>
  </si>
  <si>
    <t xml:space="preserve">V-38</t>
  </si>
  <si>
    <t xml:space="preserve">Observaciones</t>
  </si>
  <si>
    <t xml:space="preserve">Hasta 150 caracteres; solo letras, números, espacios y los signos . , -</t>
  </si>
  <si>
    <t xml:space="preserve">Abono para el ciclo 1</t>
  </si>
  <si>
    <t xml:space="preserve">Texto de 151 caracteres</t>
  </si>
  <si>
    <t xml:space="preserve">Escriba máximo 150 caracteres, solo con letras, números y los signos . , -</t>
  </si>
  <si>
    <t xml:space="preserve">V-39</t>
  </si>
  <si>
    <t xml:space="preserve">Jornales</t>
  </si>
  <si>
    <t xml:space="preserve">Número de jornales</t>
  </si>
  <si>
    <t xml:space="preserve">De 0,5 a 999, de medio en medio</t>
  </si>
  <si>
    <t xml:space="preserve">1,25</t>
  </si>
  <si>
    <t xml:space="preserve">Los jornales deben estar entre 0,5 y 999, de medio en medio.</t>
  </si>
  <si>
    <t xml:space="preserve">V-40</t>
  </si>
  <si>
    <t xml:space="preserve">Valor diario</t>
  </si>
  <si>
    <t xml:space="preserve">Mayor que $0 y máximo $50.000.000</t>
  </si>
  <si>
    <t xml:space="preserve">60000</t>
  </si>
  <si>
    <t xml:space="preserve">El valor del jornal debe ser mayor que $0.</t>
  </si>
  <si>
    <t xml:space="preserve">V-41</t>
  </si>
  <si>
    <t xml:space="preserve">Ingreso</t>
  </si>
  <si>
    <t xml:space="preserve">Cantidad</t>
  </si>
  <si>
    <t xml:space="preserve">De 0,1 a 10.000 en la unidad comercial del cultivo</t>
  </si>
  <si>
    <t xml:space="preserve">25</t>
  </si>
  <si>
    <t xml:space="preserve">10001</t>
  </si>
  <si>
    <t xml:space="preserve">La cantidad debe estar entre 0,1 y 10.000.</t>
  </si>
  <si>
    <t xml:space="preserve">V-42</t>
  </si>
  <si>
    <t xml:space="preserve">Precio unitario</t>
  </si>
  <si>
    <t xml:space="preserve">De $1 a $50.000.000</t>
  </si>
  <si>
    <t xml:space="preserve">180000</t>
  </si>
  <si>
    <t xml:space="preserve">El precio debe estar entre $1 y $50.000.000.</t>
  </si>
  <si>
    <t xml:space="preserve">V-43</t>
  </si>
  <si>
    <t xml:space="preserve">Editar o eliminar</t>
  </si>
  <si>
    <t xml:space="preserve">Deshacer</t>
  </si>
  <si>
    <t xml:space="preserve">Disponible 10 segundos después de eliminar</t>
  </si>
  <si>
    <t xml:space="preserve">A los 10 s</t>
  </si>
  <si>
    <t xml:space="preserve">A los 11 s</t>
  </si>
  <si>
    <t xml:space="preserve">Ya no se puede deshacer.</t>
  </si>
  <si>
    <t xml:space="preserve">V-44</t>
  </si>
  <si>
    <t xml:space="preserve">Sincronización</t>
  </si>
  <si>
    <t xml:space="preserve">Sin conexión</t>
  </si>
  <si>
    <t xml:space="preserve">Los datos se guardan en el dispositivo</t>
  </si>
  <si>
    <t xml:space="preserve">Con conexión</t>
  </si>
  <si>
    <t xml:space="preserve">Sin conexión: sus datos están guardados en este dispositivo y se enviarán solos.</t>
  </si>
  <si>
    <t xml:space="preserve">V-45</t>
  </si>
  <si>
    <t xml:space="preserve">Falla del servidor</t>
  </si>
  <si>
    <t xml:space="preserve">Los registros siguen PENDIENTES y se reintenta</t>
  </si>
  <si>
    <t xml:space="preserve">Envío correcto</t>
  </si>
  <si>
    <t xml:space="preserve">Error del servidor</t>
  </si>
  <si>
    <t xml:space="preserve">No pudimos enviar sus datos ahora. Lo intentaremos de nuevo.</t>
  </si>
  <si>
    <t xml:space="preserve">V-46</t>
  </si>
  <si>
    <t xml:space="preserve">Sesión vencida</t>
  </si>
  <si>
    <t xml:space="preserve">Pide iniciar sesión; los datos locales se conservan</t>
  </si>
  <si>
    <t xml:space="preserve">Sesión vigente</t>
  </si>
  <si>
    <t xml:space="preserve">Sesión de más de 30 días</t>
  </si>
  <si>
    <t xml:space="preserve">Su sesión venció. Ingrese de nuevo; sus datos siguen guardados.</t>
  </si>
  <si>
    <t xml:space="preserve">V-47</t>
  </si>
  <si>
    <t xml:space="preserve">Gasto, jornales e ingreso</t>
  </si>
  <si>
    <t xml:space="preserve">Fecha del registro</t>
  </si>
  <si>
    <t xml:space="preserve">No puede ser posterior a hoy ni anterior a la fecha de siembra del ciclo (RF-23, RF-24 y RF-25)</t>
  </si>
  <si>
    <t xml:space="preserve">Hoy</t>
  </si>
  <si>
    <t xml:space="preserve">Mañana</t>
  </si>
  <si>
    <t xml:space="preserve">La fecha no puede ser posterior a hoy ni anterior a la siembra del ciclo.</t>
  </si>
  <si>
    <t xml:space="preserve">V-48</t>
  </si>
  <si>
    <t xml:space="preserve">Rango de la fecha de siembra</t>
  </si>
  <si>
    <t xml:space="preserve">Entre el 01/01/2020 y un año después de hoy</t>
  </si>
  <si>
    <t xml:space="preserve">01/01/2019</t>
  </si>
  <si>
    <t xml:space="preserve">La fecha de siembra debe estar entre el 01/01/2020 y un año después de hoy.</t>
  </si>
  <si>
    <t xml:space="preserve">V-49</t>
  </si>
  <si>
    <t xml:space="preserve">Vigencia del ciclo en años</t>
  </si>
  <si>
    <t xml:space="preserve">Opcional; entero de 1 a 50 años</t>
  </si>
  <si>
    <t xml:space="preserve">7</t>
  </si>
  <si>
    <t xml:space="preserve">51 o 2,5</t>
  </si>
  <si>
    <t xml:space="preserve">La vigencia debe ser un número entero de años entre 1 y 50.</t>
  </si>
  <si>
    <t xml:space="preserve">V-50</t>
  </si>
  <si>
    <t xml:space="preserve">Cultivo repetido en el ciclo</t>
  </si>
  <si>
    <t xml:space="preserve">Un cultivo solo puede estar una vez en el mismo ciclo</t>
  </si>
  <si>
    <t xml:space="preserve">Plátano (nuevo en el ciclo)</t>
  </si>
  <si>
    <t xml:space="preserve">Café (ya está en el ciclo)</t>
  </si>
  <si>
    <t xml:space="preserve">Este cultivo ya está en el ciclo.</t>
  </si>
  <si>
    <t xml:space="preserve">Pregunta</t>
  </si>
  <si>
    <t xml:space="preserve">Descripción</t>
  </si>
  <si>
    <t xml:space="preserve">Resultado</t>
  </si>
  <si>
    <t xml:space="preserve">Requisitos derivados</t>
  </si>
  <si>
    <t xml:space="preserve">Estado</t>
  </si>
  <si>
    <t xml:space="preserve">Determinación de distancia de siembra</t>
  </si>
  <si>
    <t xml:space="preserve">6/10 por experiencia propia; 3/10 consejo de otros</t>
  </si>
  <si>
    <t xml:space="preserve">RF-17, RF-18</t>
  </si>
  <si>
    <t xml:space="preserve">Cubierto</t>
  </si>
  <si>
    <t xml:space="preserve">Conoce matas/ha exactas</t>
  </si>
  <si>
    <t xml:space="preserve">6 aprox.; 2 no sabe; 2 exacto</t>
  </si>
  <si>
    <t xml:space="preserve">Pérdidas por mala distribución</t>
  </si>
  <si>
    <t xml:space="preserve">8/10 sí</t>
  </si>
  <si>
    <t xml:space="preserve">Utilidad de calcular plantas/ha</t>
  </si>
  <si>
    <t xml:space="preserve">9/10 muy útil</t>
  </si>
  <si>
    <t xml:space="preserve">Lleva registro de gastos</t>
  </si>
  <si>
    <t xml:space="preserve">7/10 no lleva registros</t>
  </si>
  <si>
    <t xml:space="preserve">RF-23, RF-24, RF-27</t>
  </si>
  <si>
    <t xml:space="preserve">Sabe cuánto gana realmente</t>
  </si>
  <si>
    <t xml:space="preserve">7 aprox.; 3 no</t>
  </si>
  <si>
    <t xml:space="preserve">Cálculo automático de utilidad</t>
  </si>
  <si>
    <t xml:space="preserve">8 sí; 2 tal vez</t>
  </si>
  <si>
    <t xml:space="preserve">Teléfono con Internet</t>
  </si>
  <si>
    <t xml:space="preserve">6 siempre; 4 algunas veces</t>
  </si>
  <si>
    <t xml:space="preserve">RNF-10, RF-35, RF-36</t>
  </si>
  <si>
    <t xml:space="preserve">Cubierto (funciona sin conexión)</t>
  </si>
  <si>
    <t xml:space="preserve">Frecuencia de uso de Internet agrícola</t>
  </si>
  <si>
    <t xml:space="preserve">7/10 ocasionalmente; 1 nunca</t>
  </si>
  <si>
    <t xml:space="preserve">RNF-10, RF-35</t>
  </si>
  <si>
    <t xml:space="preserve">Dispositivo principal</t>
  </si>
  <si>
    <t xml:space="preserve">9 Android; 1 iPhone</t>
  </si>
  <si>
    <t xml:space="preserve">RNF-05, RNF-07</t>
  </si>
  <si>
    <t xml:space="preserve">Cubierto; se prueba en Android y en Safari</t>
  </si>
  <si>
    <t xml:space="preserve">Facilidad de aprendizaje esperada</t>
  </si>
  <si>
    <t xml:space="preserve">media alta (5:5, 4:2, 3:2)</t>
  </si>
  <si>
    <t xml:space="preserve">Tiempo máx. aceptable de resultado</t>
  </si>
  <si>
    <t xml:space="preserve">5 &lt;2 s; 2 de 2–5 s; 3 de 5–10 s</t>
  </si>
  <si>
    <t xml:space="preserve">Cubierto (criterio más estricto)</t>
  </si>
  <si>
    <t xml:space="preserve">Importancia de disponibilidad 24 h</t>
  </si>
  <si>
    <t xml:space="preserve">promedio 4,0/5</t>
  </si>
  <si>
    <t xml:space="preserve">Importancia de protección de información</t>
  </si>
  <si>
    <t xml:space="preserve">7 muy importante; 3 poco importante</t>
  </si>
  <si>
    <t xml:space="preserve">RNF-14, RNF-15, RNF-16, RNF-17</t>
  </si>
  <si>
    <t xml:space="preserve">Cubierto (3/10 «poco importante» no reduce requisitos legales)</t>
  </si>
  <si>
    <t xml:space="preserve">Historial de cálculos y registros</t>
  </si>
  <si>
    <t xml:space="preserve">Fuera del alcance del proyecto</t>
  </si>
  <si>
    <t xml:space="preserve">Gravedad si la app falla</t>
  </si>
  <si>
    <t xml:space="preserve">moda 3/5</t>
  </si>
  <si>
    <t xml:space="preserve">RNF-11, RNF-25</t>
  </si>
  <si>
    <t xml:space="preserve">Letra grande y legible</t>
  </si>
  <si>
    <t xml:space="preserve">mayoría 4–5</t>
  </si>
  <si>
    <t xml:space="preserve">Guardar varias cosechas para comparar</t>
  </si>
  <si>
    <t xml:space="preserve">6 sí; 4 tal vez</t>
  </si>
  <si>
    <t xml:space="preserve">Sugerencias abiertas (épocas de luna, manejo de ganancias e inversión)</t>
  </si>
  <si>
    <t xml:space="preserve">texto libre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</si>
</sst>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n">
        <f aca="false">COUNTA(RF!A2:A20)</f>
        <v>19</v>
      </c>
    </row>
    <row r="6" customFormat="false" ht="15" hidden="false" customHeight="true" outlineLevel="0" collapsed="false">
      <c r="A6" s="5" t="s">
        <v>5</v>
      </c>
      <c r="B6" s="5" t="n">
        <f aca="false">COUNTA(RF!G2:G20)</f>
        <v>19</v>
      </c>
    </row>
    <row r="7" customFormat="false" ht="15" hidden="false" customHeight="true" outlineLevel="0" collapsed="false">
      <c r="A7" s="5" t="s">
        <v>6</v>
      </c>
      <c r="B7" s="5" t="n">
        <f aca="false">COUNTA(RNF!A2:A13)</f>
        <v>12</v>
      </c>
    </row>
    <row r="8" customFormat="false" ht="15" hidden="false" customHeight="true" outlineLevel="0" collapsed="false">
      <c r="A8" s="5" t="s">
        <v>7</v>
      </c>
      <c r="B8" s="5" t="n">
        <f aca="false">COUNTA(RNF!E2:E13)</f>
        <v>12</v>
      </c>
    </row>
    <row r="9" customFormat="false" ht="15" hidden="false" customHeight="true" outlineLevel="0" collapsed="false">
      <c r="A9" s="5" t="s">
        <v>8</v>
      </c>
      <c r="B9" s="5" t="n">
        <f aca="false">COUNTA(Encuesta!A2:A21)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26"/>
    <col collapsed="false" customWidth="true" hidden="false" outlineLevel="0" max="6" min="6" style="1" width="28"/>
    <col collapsed="false" customWidth="true" hidden="false" outlineLevel="0" max="7" min="7" style="1" width="64"/>
    <col collapsed="false" customWidth="true" hidden="false" outlineLevel="0" max="8" min="8" style="1" width="26"/>
  </cols>
  <sheetData>
    <row r="1" customFormat="false" ht="23.25" hidden="false" customHeight="tru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</row>
    <row r="2" customFormat="false" ht="21.75" hidden="false" customHeight="true" outlineLevel="0" collapsed="false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</row>
    <row r="3" customFormat="false" ht="32.25" hidden="false" customHeight="true" outlineLevel="0" collapsed="false">
      <c r="A3" s="7" t="s">
        <v>25</v>
      </c>
      <c r="B3" s="7" t="s">
        <v>26</v>
      </c>
      <c r="C3" s="7" t="s">
        <v>19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</row>
    <row r="4" customFormat="false" ht="21.75" hidden="false" customHeight="true" outlineLevel="0" collapsed="false">
      <c r="A4" s="7" t="s">
        <v>32</v>
      </c>
      <c r="B4" s="7" t="s">
        <v>33</v>
      </c>
      <c r="C4" s="7" t="s">
        <v>19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21.75" hidden="false" customHeight="true" outlineLevel="0" collapsed="false">
      <c r="A5" s="7" t="s">
        <v>39</v>
      </c>
      <c r="B5" s="7" t="s">
        <v>40</v>
      </c>
      <c r="C5" s="7" t="s">
        <v>41</v>
      </c>
      <c r="D5" s="7" t="s">
        <v>34</v>
      </c>
      <c r="E5" s="7" t="s">
        <v>42</v>
      </c>
      <c r="F5" s="7" t="s">
        <v>43</v>
      </c>
      <c r="G5" s="7" t="s">
        <v>44</v>
      </c>
      <c r="H5" s="7" t="s">
        <v>45</v>
      </c>
    </row>
    <row r="6" customFormat="false" ht="21.75" hidden="false" customHeight="true" outlineLevel="0" collapsed="false">
      <c r="A6" s="7" t="s">
        <v>46</v>
      </c>
      <c r="B6" s="7" t="s">
        <v>47</v>
      </c>
      <c r="C6" s="7" t="s">
        <v>19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</row>
    <row r="7" customFormat="false" ht="21.75" hidden="false" customHeight="true" outlineLevel="0" collapsed="false">
      <c r="A7" s="7" t="s">
        <v>53</v>
      </c>
      <c r="B7" s="7" t="s">
        <v>54</v>
      </c>
      <c r="C7" s="7" t="s">
        <v>19</v>
      </c>
      <c r="D7" s="7" t="s">
        <v>55</v>
      </c>
      <c r="E7" s="7" t="s">
        <v>56</v>
      </c>
      <c r="F7" s="7" t="s">
        <v>57</v>
      </c>
      <c r="G7" s="7" t="s">
        <v>58</v>
      </c>
      <c r="H7" s="7" t="s">
        <v>59</v>
      </c>
    </row>
    <row r="8" customFormat="false" ht="21.75" hidden="false" customHeight="true" outlineLevel="0" collapsed="false">
      <c r="A8" s="7" t="s">
        <v>60</v>
      </c>
      <c r="B8" s="7" t="s">
        <v>61</v>
      </c>
      <c r="C8" s="7" t="s">
        <v>41</v>
      </c>
      <c r="D8" s="7" t="s">
        <v>55</v>
      </c>
      <c r="E8" s="7" t="s">
        <v>62</v>
      </c>
      <c r="F8" s="7" t="s">
        <v>63</v>
      </c>
      <c r="G8" s="7" t="s">
        <v>64</v>
      </c>
      <c r="H8" s="7" t="s">
        <v>65</v>
      </c>
    </row>
    <row r="9" customFormat="false" ht="32.25" hidden="false" customHeight="true" outlineLevel="0" collapsed="false">
      <c r="A9" s="7" t="s">
        <v>66</v>
      </c>
      <c r="B9" s="7" t="s">
        <v>67</v>
      </c>
      <c r="C9" s="7" t="s">
        <v>19</v>
      </c>
      <c r="D9" s="7" t="s">
        <v>55</v>
      </c>
      <c r="E9" s="7" t="s">
        <v>68</v>
      </c>
      <c r="F9" s="7" t="s">
        <v>69</v>
      </c>
      <c r="G9" s="7" t="s">
        <v>70</v>
      </c>
      <c r="H9" s="7" t="s">
        <v>71</v>
      </c>
    </row>
    <row r="10" customFormat="false" ht="21.75" hidden="false" customHeight="true" outlineLevel="0" collapsed="false">
      <c r="A10" s="7" t="s">
        <v>72</v>
      </c>
      <c r="B10" s="7" t="s">
        <v>73</v>
      </c>
      <c r="C10" s="7" t="s">
        <v>19</v>
      </c>
      <c r="D10" s="7" t="s">
        <v>55</v>
      </c>
      <c r="E10" s="7" t="s">
        <v>74</v>
      </c>
      <c r="F10" s="7" t="s">
        <v>75</v>
      </c>
      <c r="G10" s="7" t="s">
        <v>76</v>
      </c>
      <c r="H10" s="7" t="s">
        <v>65</v>
      </c>
    </row>
    <row r="11" customFormat="false" ht="32.25" hidden="false" customHeight="true" outlineLevel="0" collapsed="false">
      <c r="A11" s="7" t="s">
        <v>77</v>
      </c>
      <c r="B11" s="7" t="s">
        <v>78</v>
      </c>
      <c r="C11" s="7" t="s">
        <v>19</v>
      </c>
      <c r="D11" s="7" t="s">
        <v>79</v>
      </c>
      <c r="E11" s="7" t="s">
        <v>80</v>
      </c>
      <c r="F11" s="7" t="s">
        <v>81</v>
      </c>
      <c r="G11" s="7" t="s">
        <v>82</v>
      </c>
      <c r="H11" s="7" t="s">
        <v>83</v>
      </c>
    </row>
    <row r="12" customFormat="false" ht="32.25" hidden="false" customHeight="true" outlineLevel="0" collapsed="false">
      <c r="A12" s="7" t="s">
        <v>84</v>
      </c>
      <c r="B12" s="7" t="s">
        <v>85</v>
      </c>
      <c r="C12" s="7" t="s">
        <v>19</v>
      </c>
      <c r="D12" s="7" t="s">
        <v>79</v>
      </c>
      <c r="E12" s="7" t="s">
        <v>86</v>
      </c>
      <c r="F12" s="7" t="s">
        <v>87</v>
      </c>
      <c r="G12" s="7" t="s">
        <v>88</v>
      </c>
      <c r="H12" s="7" t="s">
        <v>89</v>
      </c>
    </row>
    <row r="13" customFormat="false" ht="15" hidden="false" customHeight="true" outlineLevel="0" collapsed="false">
      <c r="A13" s="7" t="s">
        <v>90</v>
      </c>
      <c r="B13" s="7" t="s">
        <v>91</v>
      </c>
      <c r="C13" s="7" t="s">
        <v>19</v>
      </c>
      <c r="D13" s="7" t="s">
        <v>92</v>
      </c>
      <c r="E13" s="7" t="s">
        <v>93</v>
      </c>
      <c r="F13" s="7" t="s">
        <v>94</v>
      </c>
      <c r="G13" s="7" t="s">
        <v>95</v>
      </c>
      <c r="H13" s="7" t="s">
        <v>96</v>
      </c>
    </row>
    <row r="14" customFormat="false" ht="15" hidden="false" customHeight="true" outlineLevel="0" collapsed="false">
      <c r="A14" s="7" t="s">
        <v>97</v>
      </c>
      <c r="B14" s="7" t="s">
        <v>98</v>
      </c>
      <c r="C14" s="7" t="s">
        <v>19</v>
      </c>
      <c r="D14" s="7" t="s">
        <v>92</v>
      </c>
      <c r="E14" s="7" t="s">
        <v>93</v>
      </c>
      <c r="F14" s="7" t="s">
        <v>63</v>
      </c>
      <c r="G14" s="7" t="s">
        <v>99</v>
      </c>
      <c r="H14" s="7" t="s">
        <v>100</v>
      </c>
    </row>
    <row r="15" customFormat="false" ht="21.75" hidden="false" customHeight="true" outlineLevel="0" collapsed="false">
      <c r="A15" s="7" t="s">
        <v>101</v>
      </c>
      <c r="B15" s="7" t="s">
        <v>102</v>
      </c>
      <c r="C15" s="7" t="s">
        <v>19</v>
      </c>
      <c r="D15" s="7" t="s">
        <v>92</v>
      </c>
      <c r="E15" s="7" t="s">
        <v>93</v>
      </c>
      <c r="F15" s="7" t="s">
        <v>63</v>
      </c>
      <c r="G15" s="7" t="s">
        <v>103</v>
      </c>
      <c r="H15" s="7" t="s">
        <v>104</v>
      </c>
    </row>
    <row r="16" customFormat="false" ht="15" hidden="false" customHeight="true" outlineLevel="0" collapsed="false">
      <c r="A16" s="7" t="s">
        <v>105</v>
      </c>
      <c r="B16" s="7" t="s">
        <v>106</v>
      </c>
      <c r="C16" s="7" t="s">
        <v>19</v>
      </c>
      <c r="D16" s="7" t="s">
        <v>92</v>
      </c>
      <c r="E16" s="7" t="s">
        <v>107</v>
      </c>
      <c r="F16" s="7" t="s">
        <v>75</v>
      </c>
      <c r="G16" s="7" t="s">
        <v>108</v>
      </c>
      <c r="H16" s="7" t="s">
        <v>109</v>
      </c>
    </row>
    <row r="17" customFormat="false" ht="21.75" hidden="false" customHeight="true" outlineLevel="0" collapsed="false">
      <c r="A17" s="7" t="s">
        <v>110</v>
      </c>
      <c r="B17" s="7" t="s">
        <v>111</v>
      </c>
      <c r="C17" s="7" t="s">
        <v>19</v>
      </c>
      <c r="D17" s="7" t="s">
        <v>48</v>
      </c>
      <c r="E17" s="7" t="s">
        <v>107</v>
      </c>
      <c r="F17" s="7" t="s">
        <v>87</v>
      </c>
      <c r="G17" s="7" t="s">
        <v>112</v>
      </c>
      <c r="H17" s="7" t="s">
        <v>113</v>
      </c>
    </row>
    <row r="18" customFormat="false" ht="15" hidden="false" customHeight="true" outlineLevel="0" collapsed="false">
      <c r="A18" s="7" t="s">
        <v>114</v>
      </c>
      <c r="B18" s="7" t="s">
        <v>115</v>
      </c>
      <c r="C18" s="7" t="s">
        <v>19</v>
      </c>
      <c r="D18" s="7" t="s">
        <v>92</v>
      </c>
      <c r="E18" s="7" t="s">
        <v>116</v>
      </c>
      <c r="F18" s="7" t="s">
        <v>81</v>
      </c>
      <c r="G18" s="7" t="s">
        <v>117</v>
      </c>
      <c r="H18" s="7" t="s">
        <v>118</v>
      </c>
    </row>
    <row r="19" customFormat="false" ht="21.75" hidden="false" customHeight="true" outlineLevel="0" collapsed="false">
      <c r="A19" s="7" t="s">
        <v>119</v>
      </c>
      <c r="B19" s="7" t="s">
        <v>120</v>
      </c>
      <c r="C19" s="7" t="s">
        <v>19</v>
      </c>
      <c r="D19" s="7" t="s">
        <v>92</v>
      </c>
      <c r="E19" s="7" t="s">
        <v>121</v>
      </c>
      <c r="F19" s="7" t="s">
        <v>122</v>
      </c>
      <c r="G19" s="7" t="s">
        <v>123</v>
      </c>
      <c r="H19" s="7" t="s">
        <v>124</v>
      </c>
    </row>
    <row r="20" customFormat="false" ht="21.75" hidden="false" customHeight="true" outlineLevel="0" collapsed="false">
      <c r="A20" s="7" t="s">
        <v>125</v>
      </c>
      <c r="B20" s="7" t="s">
        <v>126</v>
      </c>
      <c r="C20" s="7" t="s">
        <v>19</v>
      </c>
      <c r="D20" s="7" t="s">
        <v>20</v>
      </c>
      <c r="E20" s="7" t="s">
        <v>127</v>
      </c>
      <c r="F20" s="7" t="s">
        <v>128</v>
      </c>
      <c r="G20" s="7" t="s">
        <v>129</v>
      </c>
      <c r="H20" s="7" t="s">
        <v>83</v>
      </c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5" min="4" style="1" width="52"/>
    <col collapsed="false" customWidth="true" hidden="false" outlineLevel="0" max="6" min="6" style="1" width="9"/>
  </cols>
  <sheetData>
    <row r="1" customFormat="false" ht="23.25" hidden="false" customHeight="true" outlineLevel="0" collapsed="false">
      <c r="A1" s="6" t="s">
        <v>9</v>
      </c>
      <c r="B1" s="6" t="s">
        <v>10</v>
      </c>
      <c r="C1" s="6" t="s">
        <v>130</v>
      </c>
      <c r="D1" s="6" t="s">
        <v>131</v>
      </c>
      <c r="E1" s="6" t="s">
        <v>132</v>
      </c>
      <c r="F1" s="6" t="s">
        <v>11</v>
      </c>
    </row>
    <row r="2" customFormat="false" ht="21.75" hidden="false" customHeight="true" outlineLevel="0" collapsed="false">
      <c r="A2" s="7" t="s">
        <v>133</v>
      </c>
      <c r="B2" s="7" t="s">
        <v>134</v>
      </c>
      <c r="C2" s="7" t="s">
        <v>135</v>
      </c>
      <c r="D2" s="7" t="s">
        <v>136</v>
      </c>
      <c r="E2" s="7" t="s">
        <v>137</v>
      </c>
      <c r="F2" s="7" t="s">
        <v>19</v>
      </c>
    </row>
    <row r="3" customFormat="false" ht="21.75" hidden="false" customHeight="true" outlineLevel="0" collapsed="false">
      <c r="A3" s="7" t="s">
        <v>128</v>
      </c>
      <c r="B3" s="7" t="s">
        <v>138</v>
      </c>
      <c r="C3" s="7" t="s">
        <v>139</v>
      </c>
      <c r="D3" s="7" t="s">
        <v>140</v>
      </c>
      <c r="E3" s="7" t="s">
        <v>141</v>
      </c>
      <c r="F3" s="7" t="s">
        <v>19</v>
      </c>
    </row>
    <row r="4" customFormat="false" ht="15" hidden="false" customHeight="true" outlineLevel="0" collapsed="false">
      <c r="A4" s="7" t="s">
        <v>50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19</v>
      </c>
    </row>
    <row r="5" customFormat="false" ht="21.75" hidden="false" customHeight="true" outlineLevel="0" collapsed="false">
      <c r="A5" s="7" t="s">
        <v>146</v>
      </c>
      <c r="B5" s="7" t="s">
        <v>147</v>
      </c>
      <c r="C5" s="7" t="s">
        <v>148</v>
      </c>
      <c r="D5" s="7" t="s">
        <v>149</v>
      </c>
      <c r="E5" s="7" t="s">
        <v>150</v>
      </c>
      <c r="F5" s="7" t="s">
        <v>19</v>
      </c>
    </row>
    <row r="6" customFormat="false" ht="21.75" hidden="false" customHeight="true" outlineLevel="0" collapsed="false">
      <c r="A6" s="7" t="s">
        <v>81</v>
      </c>
      <c r="B6" s="7" t="s">
        <v>151</v>
      </c>
      <c r="C6" s="7" t="s">
        <v>152</v>
      </c>
      <c r="D6" s="7" t="s">
        <v>153</v>
      </c>
      <c r="E6" s="7" t="s">
        <v>154</v>
      </c>
      <c r="F6" s="7" t="s">
        <v>19</v>
      </c>
    </row>
    <row r="7" customFormat="false" ht="21.75" hidden="false" customHeight="true" outlineLevel="0" collapsed="false">
      <c r="A7" s="7" t="s">
        <v>122</v>
      </c>
      <c r="B7" s="7" t="s">
        <v>155</v>
      </c>
      <c r="C7" s="7" t="s">
        <v>156</v>
      </c>
      <c r="D7" s="7" t="s">
        <v>157</v>
      </c>
      <c r="E7" s="7" t="s">
        <v>158</v>
      </c>
      <c r="F7" s="7" t="s">
        <v>19</v>
      </c>
    </row>
    <row r="8" customFormat="false" ht="21.75" hidden="false" customHeight="true" outlineLevel="0" collapsed="false">
      <c r="A8" s="7" t="s">
        <v>159</v>
      </c>
      <c r="B8" s="7" t="s">
        <v>160</v>
      </c>
      <c r="C8" s="7" t="s">
        <v>161</v>
      </c>
      <c r="D8" s="7" t="s">
        <v>162</v>
      </c>
      <c r="E8" s="7" t="s">
        <v>163</v>
      </c>
      <c r="F8" s="7" t="s">
        <v>19</v>
      </c>
    </row>
    <row r="9" customFormat="false" ht="21.75" hidden="false" customHeight="true" outlineLevel="0" collapsed="false">
      <c r="A9" s="7" t="s">
        <v>164</v>
      </c>
      <c r="B9" s="7" t="s">
        <v>165</v>
      </c>
      <c r="C9" s="7" t="s">
        <v>166</v>
      </c>
      <c r="D9" s="7" t="s">
        <v>167</v>
      </c>
      <c r="E9" s="7" t="s">
        <v>168</v>
      </c>
      <c r="F9" s="7" t="s">
        <v>19</v>
      </c>
    </row>
    <row r="10" customFormat="false" ht="21.75" hidden="false" customHeight="true" outlineLevel="0" collapsed="false">
      <c r="A10" s="7" t="s">
        <v>36</v>
      </c>
      <c r="B10" s="7" t="s">
        <v>169</v>
      </c>
      <c r="C10" s="7" t="s">
        <v>148</v>
      </c>
      <c r="D10" s="7" t="s">
        <v>170</v>
      </c>
      <c r="E10" s="7" t="s">
        <v>171</v>
      </c>
      <c r="F10" s="7" t="s">
        <v>19</v>
      </c>
    </row>
    <row r="11" customFormat="false" ht="21.75" hidden="false" customHeight="true" outlineLevel="0" collapsed="false">
      <c r="A11" s="7" t="s">
        <v>172</v>
      </c>
      <c r="B11" s="7" t="s">
        <v>173</v>
      </c>
      <c r="C11" s="7" t="s">
        <v>174</v>
      </c>
      <c r="D11" s="7" t="s">
        <v>175</v>
      </c>
      <c r="E11" s="7" t="s">
        <v>176</v>
      </c>
      <c r="F11" s="7" t="s">
        <v>19</v>
      </c>
    </row>
    <row r="12" customFormat="false" ht="15" hidden="false" customHeight="true" outlineLevel="0" collapsed="false">
      <c r="A12" s="7" t="s">
        <v>63</v>
      </c>
      <c r="B12" s="7" t="s">
        <v>177</v>
      </c>
      <c r="C12" s="7" t="s">
        <v>178</v>
      </c>
      <c r="D12" s="7" t="s">
        <v>179</v>
      </c>
      <c r="E12" s="7" t="s">
        <v>180</v>
      </c>
      <c r="F12" s="7" t="s">
        <v>19</v>
      </c>
    </row>
    <row r="13" customFormat="false" ht="21.75" hidden="false" customHeight="true" outlineLevel="0" collapsed="false">
      <c r="A13" s="7" t="s">
        <v>181</v>
      </c>
      <c r="B13" s="7" t="s">
        <v>182</v>
      </c>
      <c r="C13" s="7" t="s">
        <v>183</v>
      </c>
      <c r="D13" s="7" t="s">
        <v>184</v>
      </c>
      <c r="E13" s="7" t="s">
        <v>185</v>
      </c>
      <c r="F13" s="7" t="s">
        <v>19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60"/>
    <col collapsed="false" customWidth="true" hidden="false" outlineLevel="0" max="7" min="6" style="1" width="26"/>
    <col collapsed="false" customWidth="true" hidden="false" outlineLevel="0" max="8" min="8" style="1" width="60"/>
  </cols>
  <sheetData>
    <row r="1" customFormat="false" ht="15" hidden="false" customHeight="true" outlineLevel="0" collapsed="false">
      <c r="A1" s="6" t="s">
        <v>9</v>
      </c>
      <c r="B1" s="6" t="s">
        <v>186</v>
      </c>
      <c r="C1" s="6" t="s">
        <v>187</v>
      </c>
      <c r="D1" s="6" t="s">
        <v>188</v>
      </c>
      <c r="E1" s="6" t="s">
        <v>189</v>
      </c>
      <c r="F1" s="6" t="s">
        <v>190</v>
      </c>
      <c r="G1" s="6" t="s">
        <v>191</v>
      </c>
      <c r="H1" s="6" t="s">
        <v>192</v>
      </c>
    </row>
    <row r="2" customFormat="false" ht="21.75" hidden="false" customHeight="true" outlineLevel="0" collapsed="false">
      <c r="A2" s="7" t="s">
        <v>193</v>
      </c>
      <c r="B2" s="7" t="s">
        <v>25</v>
      </c>
      <c r="C2" s="7" t="s">
        <v>194</v>
      </c>
      <c r="D2" s="7" t="s">
        <v>195</v>
      </c>
      <c r="E2" s="7" t="s">
        <v>196</v>
      </c>
      <c r="F2" s="7" t="s">
        <v>197</v>
      </c>
      <c r="G2" s="7" t="s">
        <v>198</v>
      </c>
      <c r="H2" s="7" t="s">
        <v>199</v>
      </c>
    </row>
    <row r="3" customFormat="false" ht="15" hidden="false" customHeight="true" outlineLevel="0" collapsed="false">
      <c r="A3" s="7" t="s">
        <v>200</v>
      </c>
      <c r="B3" s="7" t="s">
        <v>25</v>
      </c>
      <c r="C3" s="7" t="s">
        <v>194</v>
      </c>
      <c r="D3" s="7" t="s">
        <v>201</v>
      </c>
      <c r="E3" s="7" t="s">
        <v>202</v>
      </c>
      <c r="F3" s="7" t="s">
        <v>203</v>
      </c>
      <c r="G3" s="7" t="s">
        <v>204</v>
      </c>
      <c r="H3" s="7" t="s">
        <v>205</v>
      </c>
    </row>
    <row r="4" customFormat="false" ht="32.25" hidden="false" customHeight="true" outlineLevel="0" collapsed="false">
      <c r="A4" s="7" t="s">
        <v>206</v>
      </c>
      <c r="B4" s="7" t="s">
        <v>25</v>
      </c>
      <c r="C4" s="7" t="s">
        <v>194</v>
      </c>
      <c r="D4" s="7" t="s">
        <v>207</v>
      </c>
      <c r="E4" s="7" t="s">
        <v>208</v>
      </c>
      <c r="F4" s="7" t="s">
        <v>209</v>
      </c>
      <c r="G4" s="7" t="s">
        <v>210</v>
      </c>
      <c r="H4" s="7" t="s">
        <v>211</v>
      </c>
    </row>
    <row r="5" customFormat="false" ht="15" hidden="false" customHeight="true" outlineLevel="0" collapsed="false">
      <c r="A5" s="7" t="s">
        <v>212</v>
      </c>
      <c r="B5" s="7" t="s">
        <v>25</v>
      </c>
      <c r="C5" s="7" t="s">
        <v>194</v>
      </c>
      <c r="D5" s="7" t="s">
        <v>213</v>
      </c>
      <c r="E5" s="7" t="s">
        <v>214</v>
      </c>
      <c r="F5" s="7" t="s">
        <v>215</v>
      </c>
      <c r="G5" s="7" t="s">
        <v>216</v>
      </c>
      <c r="H5" s="7" t="s">
        <v>217</v>
      </c>
    </row>
    <row r="6" customFormat="false" ht="21.75" hidden="false" customHeight="true" outlineLevel="0" collapsed="false">
      <c r="A6" s="7" t="s">
        <v>218</v>
      </c>
      <c r="B6" s="7" t="s">
        <v>25</v>
      </c>
      <c r="C6" s="7" t="s">
        <v>194</v>
      </c>
      <c r="D6" s="7" t="s">
        <v>219</v>
      </c>
      <c r="E6" s="7" t="s">
        <v>220</v>
      </c>
      <c r="F6" s="7" t="s">
        <v>221</v>
      </c>
      <c r="G6" s="7" t="s">
        <v>222</v>
      </c>
      <c r="H6" s="7" t="s">
        <v>223</v>
      </c>
    </row>
    <row r="7" customFormat="false" ht="21.75" hidden="false" customHeight="true" outlineLevel="0" collapsed="false">
      <c r="A7" s="7" t="s">
        <v>224</v>
      </c>
      <c r="B7" s="7" t="s">
        <v>25</v>
      </c>
      <c r="C7" s="7" t="s">
        <v>194</v>
      </c>
      <c r="D7" s="7" t="s">
        <v>225</v>
      </c>
      <c r="E7" s="7" t="s">
        <v>226</v>
      </c>
      <c r="F7" s="7" t="s">
        <v>227</v>
      </c>
      <c r="G7" s="7" t="s">
        <v>228</v>
      </c>
      <c r="H7" s="7" t="s">
        <v>229</v>
      </c>
    </row>
    <row r="8" customFormat="false" ht="42.75" hidden="false" customHeight="true" outlineLevel="0" collapsed="false">
      <c r="A8" s="7" t="s">
        <v>230</v>
      </c>
      <c r="B8" s="7" t="s">
        <v>25</v>
      </c>
      <c r="C8" s="7" t="s">
        <v>194</v>
      </c>
      <c r="D8" s="7" t="s">
        <v>231</v>
      </c>
      <c r="E8" s="7" t="s">
        <v>232</v>
      </c>
      <c r="F8" s="7" t="s">
        <v>233</v>
      </c>
      <c r="G8" s="7" t="s">
        <v>234</v>
      </c>
      <c r="H8" s="7" t="s">
        <v>235</v>
      </c>
    </row>
    <row r="9" customFormat="false" ht="15" hidden="false" customHeight="true" outlineLevel="0" collapsed="false">
      <c r="A9" s="7" t="s">
        <v>236</v>
      </c>
      <c r="B9" s="7" t="s">
        <v>25</v>
      </c>
      <c r="C9" s="7" t="s">
        <v>194</v>
      </c>
      <c r="D9" s="7" t="s">
        <v>237</v>
      </c>
      <c r="E9" s="7" t="s">
        <v>238</v>
      </c>
      <c r="F9" s="7" t="s">
        <v>239</v>
      </c>
      <c r="G9" s="7" t="s">
        <v>240</v>
      </c>
      <c r="H9" s="7" t="s">
        <v>241</v>
      </c>
    </row>
    <row r="10" customFormat="false" ht="15" hidden="false" customHeight="true" outlineLevel="0" collapsed="false">
      <c r="A10" s="7" t="s">
        <v>242</v>
      </c>
      <c r="B10" s="7" t="s">
        <v>25</v>
      </c>
      <c r="C10" s="7" t="s">
        <v>243</v>
      </c>
      <c r="D10" s="7" t="s">
        <v>244</v>
      </c>
      <c r="E10" s="7" t="s">
        <v>245</v>
      </c>
      <c r="F10" s="7" t="s">
        <v>246</v>
      </c>
      <c r="G10" s="7" t="s">
        <v>247</v>
      </c>
      <c r="H10" s="7" t="s">
        <v>248</v>
      </c>
    </row>
    <row r="11" customFormat="false" ht="15" hidden="false" customHeight="true" outlineLevel="0" collapsed="false">
      <c r="A11" s="7" t="s">
        <v>249</v>
      </c>
      <c r="B11" s="7" t="s">
        <v>25</v>
      </c>
      <c r="C11" s="7" t="s">
        <v>243</v>
      </c>
      <c r="D11" s="7" t="s">
        <v>250</v>
      </c>
      <c r="E11" s="7" t="s">
        <v>251</v>
      </c>
      <c r="F11" s="7" t="s">
        <v>252</v>
      </c>
      <c r="G11" s="7" t="s">
        <v>253</v>
      </c>
      <c r="H11" s="7" t="s">
        <v>254</v>
      </c>
    </row>
    <row r="12" customFormat="false" ht="15" hidden="false" customHeight="true" outlineLevel="0" collapsed="false">
      <c r="A12" s="7" t="s">
        <v>255</v>
      </c>
      <c r="B12" s="7" t="s">
        <v>25</v>
      </c>
      <c r="C12" s="7" t="s">
        <v>243</v>
      </c>
      <c r="D12" s="7" t="s">
        <v>256</v>
      </c>
      <c r="E12" s="7" t="s">
        <v>257</v>
      </c>
      <c r="F12" s="7" t="s">
        <v>258</v>
      </c>
      <c r="G12" s="7" t="s">
        <v>259</v>
      </c>
      <c r="H12" s="7" t="s">
        <v>260</v>
      </c>
    </row>
    <row r="13" customFormat="false" ht="15" hidden="false" customHeight="true" outlineLevel="0" collapsed="false">
      <c r="A13" s="7" t="s">
        <v>261</v>
      </c>
      <c r="B13" s="7" t="s">
        <v>25</v>
      </c>
      <c r="C13" s="7" t="s">
        <v>243</v>
      </c>
      <c r="D13" s="7" t="s">
        <v>262</v>
      </c>
      <c r="E13" s="7" t="s">
        <v>263</v>
      </c>
      <c r="F13" s="7" t="s">
        <v>227</v>
      </c>
      <c r="G13" s="7" t="s">
        <v>264</v>
      </c>
      <c r="H13" s="7" t="s">
        <v>265</v>
      </c>
    </row>
    <row r="14" customFormat="false" ht="15" hidden="false" customHeight="true" outlineLevel="0" collapsed="false">
      <c r="A14" s="7" t="s">
        <v>266</v>
      </c>
      <c r="B14" s="7" t="s">
        <v>25</v>
      </c>
      <c r="C14" s="7" t="s">
        <v>243</v>
      </c>
      <c r="D14" s="7" t="s">
        <v>267</v>
      </c>
      <c r="E14" s="7" t="s">
        <v>268</v>
      </c>
      <c r="F14" s="7" t="s">
        <v>269</v>
      </c>
      <c r="G14" s="7" t="s">
        <v>270</v>
      </c>
      <c r="H14" s="7" t="s">
        <v>271</v>
      </c>
    </row>
    <row r="15" customFormat="false" ht="15" hidden="false" customHeight="true" outlineLevel="0" collapsed="false">
      <c r="A15" s="7" t="s">
        <v>272</v>
      </c>
      <c r="B15" s="7" t="s">
        <v>25</v>
      </c>
      <c r="C15" s="7" t="s">
        <v>243</v>
      </c>
      <c r="D15" s="7" t="s">
        <v>273</v>
      </c>
      <c r="E15" s="7" t="s">
        <v>274</v>
      </c>
      <c r="F15" s="7" t="s">
        <v>275</v>
      </c>
      <c r="G15" s="7" t="s">
        <v>276</v>
      </c>
      <c r="H15" s="7" t="s">
        <v>277</v>
      </c>
    </row>
    <row r="16" customFormat="false" ht="21.75" hidden="false" customHeight="true" outlineLevel="0" collapsed="false">
      <c r="A16" s="7" t="s">
        <v>278</v>
      </c>
      <c r="B16" s="7" t="s">
        <v>25</v>
      </c>
      <c r="C16" s="7" t="s">
        <v>243</v>
      </c>
      <c r="D16" s="7" t="s">
        <v>279</v>
      </c>
      <c r="E16" s="7" t="s">
        <v>280</v>
      </c>
      <c r="F16" s="7" t="s">
        <v>281</v>
      </c>
      <c r="G16" s="7" t="s">
        <v>282</v>
      </c>
      <c r="H16" s="7" t="s">
        <v>283</v>
      </c>
    </row>
    <row r="17" customFormat="false" ht="15" hidden="false" customHeight="true" outlineLevel="0" collapsed="false">
      <c r="A17" s="7" t="s">
        <v>284</v>
      </c>
      <c r="B17" s="7" t="s">
        <v>32</v>
      </c>
      <c r="C17" s="7" t="s">
        <v>285</v>
      </c>
      <c r="D17" s="7" t="s">
        <v>286</v>
      </c>
      <c r="E17" s="7" t="s">
        <v>287</v>
      </c>
      <c r="F17" s="7" t="s">
        <v>288</v>
      </c>
      <c r="G17" s="7" t="s">
        <v>289</v>
      </c>
      <c r="H17" s="7" t="s">
        <v>290</v>
      </c>
    </row>
    <row r="18" customFormat="false" ht="15" hidden="false" customHeight="true" outlineLevel="0" collapsed="false">
      <c r="A18" s="7" t="s">
        <v>291</v>
      </c>
      <c r="B18" s="7" t="s">
        <v>32</v>
      </c>
      <c r="C18" s="7" t="s">
        <v>285</v>
      </c>
      <c r="D18" s="7" t="s">
        <v>292</v>
      </c>
      <c r="E18" s="7" t="s">
        <v>293</v>
      </c>
      <c r="F18" s="7" t="s">
        <v>294</v>
      </c>
      <c r="G18" s="7" t="s">
        <v>295</v>
      </c>
      <c r="H18" s="7" t="s">
        <v>296</v>
      </c>
    </row>
    <row r="19" customFormat="false" ht="15" hidden="false" customHeight="true" outlineLevel="0" collapsed="false">
      <c r="A19" s="7" t="s">
        <v>297</v>
      </c>
      <c r="B19" s="7" t="s">
        <v>32</v>
      </c>
      <c r="C19" s="7" t="s">
        <v>285</v>
      </c>
      <c r="D19" s="7" t="s">
        <v>298</v>
      </c>
      <c r="E19" s="7" t="s">
        <v>299</v>
      </c>
      <c r="F19" s="7" t="s">
        <v>300</v>
      </c>
      <c r="G19" s="7" t="s">
        <v>301</v>
      </c>
      <c r="H19" s="7" t="s">
        <v>302</v>
      </c>
    </row>
    <row r="20" customFormat="false" ht="15" hidden="false" customHeight="true" outlineLevel="0" collapsed="false">
      <c r="A20" s="7" t="s">
        <v>303</v>
      </c>
      <c r="B20" s="7" t="s">
        <v>32</v>
      </c>
      <c r="C20" s="7" t="s">
        <v>285</v>
      </c>
      <c r="D20" s="7" t="s">
        <v>304</v>
      </c>
      <c r="E20" s="7" t="s">
        <v>305</v>
      </c>
      <c r="F20" s="7" t="s">
        <v>306</v>
      </c>
      <c r="G20" s="7" t="s">
        <v>304</v>
      </c>
      <c r="H20" s="7" t="s">
        <v>307</v>
      </c>
    </row>
    <row r="21" customFormat="false" ht="21.75" hidden="false" customHeight="true" outlineLevel="0" collapsed="false">
      <c r="A21" s="7" t="s">
        <v>308</v>
      </c>
      <c r="B21" s="7" t="s">
        <v>39</v>
      </c>
      <c r="C21" s="7" t="s">
        <v>40</v>
      </c>
      <c r="D21" s="7" t="s">
        <v>309</v>
      </c>
      <c r="E21" s="7" t="s">
        <v>310</v>
      </c>
      <c r="F21" s="7" t="s">
        <v>311</v>
      </c>
      <c r="G21" s="7" t="s">
        <v>312</v>
      </c>
      <c r="H21" s="7" t="s">
        <v>313</v>
      </c>
    </row>
    <row r="22" customFormat="false" ht="21.75" hidden="false" customHeight="true" outlineLevel="0" collapsed="false">
      <c r="A22" s="7" t="s">
        <v>314</v>
      </c>
      <c r="B22" s="7" t="s">
        <v>17</v>
      </c>
      <c r="C22" s="7" t="s">
        <v>315</v>
      </c>
      <c r="D22" s="7" t="s">
        <v>316</v>
      </c>
      <c r="E22" s="7" t="s">
        <v>317</v>
      </c>
      <c r="F22" s="7" t="s">
        <v>318</v>
      </c>
      <c r="G22" s="7" t="s">
        <v>316</v>
      </c>
      <c r="H22" s="7" t="s">
        <v>319</v>
      </c>
    </row>
    <row r="23" customFormat="false" ht="15" hidden="false" customHeight="true" outlineLevel="0" collapsed="false">
      <c r="A23" s="7" t="s">
        <v>320</v>
      </c>
      <c r="B23" s="7" t="s">
        <v>53</v>
      </c>
      <c r="C23" s="7" t="s">
        <v>321</v>
      </c>
      <c r="D23" s="7" t="s">
        <v>322</v>
      </c>
      <c r="E23" s="7" t="s">
        <v>323</v>
      </c>
      <c r="F23" s="7" t="s">
        <v>324</v>
      </c>
      <c r="G23" s="7" t="s">
        <v>204</v>
      </c>
      <c r="H23" s="7" t="s">
        <v>325</v>
      </c>
    </row>
    <row r="24" customFormat="false" ht="21.75" hidden="false" customHeight="true" outlineLevel="0" collapsed="false">
      <c r="A24" s="7" t="s">
        <v>326</v>
      </c>
      <c r="B24" s="7" t="s">
        <v>53</v>
      </c>
      <c r="C24" s="7" t="s">
        <v>321</v>
      </c>
      <c r="D24" s="7" t="s">
        <v>327</v>
      </c>
      <c r="E24" s="7" t="s">
        <v>328</v>
      </c>
      <c r="F24" s="7" t="s">
        <v>329</v>
      </c>
      <c r="G24" s="7" t="s">
        <v>329</v>
      </c>
      <c r="H24" s="7" t="s">
        <v>330</v>
      </c>
    </row>
    <row r="25" customFormat="false" ht="15" hidden="false" customHeight="true" outlineLevel="0" collapsed="false">
      <c r="A25" s="7" t="s">
        <v>331</v>
      </c>
      <c r="B25" s="7" t="s">
        <v>66</v>
      </c>
      <c r="C25" s="7" t="s">
        <v>332</v>
      </c>
      <c r="D25" s="7" t="s">
        <v>333</v>
      </c>
      <c r="E25" s="7" t="s">
        <v>334</v>
      </c>
      <c r="F25" s="7" t="s">
        <v>335</v>
      </c>
      <c r="G25" s="7" t="s">
        <v>336</v>
      </c>
      <c r="H25" s="7" t="s">
        <v>337</v>
      </c>
    </row>
    <row r="26" customFormat="false" ht="15" hidden="false" customHeight="true" outlineLevel="0" collapsed="false">
      <c r="A26" s="7" t="s">
        <v>338</v>
      </c>
      <c r="B26" s="7" t="s">
        <v>66</v>
      </c>
      <c r="C26" s="7" t="s">
        <v>332</v>
      </c>
      <c r="D26" s="7" t="s">
        <v>339</v>
      </c>
      <c r="E26" s="7" t="s">
        <v>340</v>
      </c>
      <c r="F26" s="7" t="s">
        <v>341</v>
      </c>
      <c r="G26" s="7" t="s">
        <v>342</v>
      </c>
      <c r="H26" s="7" t="s">
        <v>343</v>
      </c>
    </row>
    <row r="27" customFormat="false" ht="15" hidden="false" customHeight="true" outlineLevel="0" collapsed="false">
      <c r="A27" s="7" t="s">
        <v>344</v>
      </c>
      <c r="B27" s="7" t="s">
        <v>60</v>
      </c>
      <c r="C27" s="7" t="s">
        <v>332</v>
      </c>
      <c r="D27" s="7" t="s">
        <v>345</v>
      </c>
      <c r="E27" s="7" t="s">
        <v>346</v>
      </c>
      <c r="F27" s="7" t="s">
        <v>347</v>
      </c>
      <c r="G27" s="7" t="s">
        <v>348</v>
      </c>
      <c r="H27" s="7" t="s">
        <v>349</v>
      </c>
    </row>
    <row r="28" customFormat="false" ht="15" hidden="false" customHeight="true" outlineLevel="0" collapsed="false">
      <c r="A28" s="7" t="s">
        <v>350</v>
      </c>
      <c r="B28" s="7" t="s">
        <v>66</v>
      </c>
      <c r="C28" s="7" t="s">
        <v>332</v>
      </c>
      <c r="D28" s="7" t="s">
        <v>351</v>
      </c>
      <c r="E28" s="7" t="s">
        <v>352</v>
      </c>
      <c r="F28" s="7" t="s">
        <v>353</v>
      </c>
      <c r="G28" s="7" t="s">
        <v>354</v>
      </c>
      <c r="H28" s="7" t="s">
        <v>355</v>
      </c>
    </row>
    <row r="29" customFormat="false" ht="32.25" hidden="false" customHeight="true" outlineLevel="0" collapsed="false">
      <c r="A29" s="7" t="s">
        <v>356</v>
      </c>
      <c r="B29" s="7" t="s">
        <v>66</v>
      </c>
      <c r="C29" s="7" t="s">
        <v>357</v>
      </c>
      <c r="D29" s="7" t="s">
        <v>358</v>
      </c>
      <c r="E29" s="7" t="s">
        <v>359</v>
      </c>
      <c r="F29" s="7" t="s">
        <v>360</v>
      </c>
      <c r="G29" s="7" t="s">
        <v>361</v>
      </c>
      <c r="H29" s="7" t="s">
        <v>362</v>
      </c>
    </row>
    <row r="30" customFormat="false" ht="21.75" hidden="false" customHeight="true" outlineLevel="0" collapsed="false">
      <c r="A30" s="7" t="s">
        <v>363</v>
      </c>
      <c r="B30" s="7" t="s">
        <v>72</v>
      </c>
      <c r="C30" s="7" t="s">
        <v>332</v>
      </c>
      <c r="D30" s="7" t="s">
        <v>364</v>
      </c>
      <c r="E30" s="7" t="s">
        <v>365</v>
      </c>
      <c r="F30" s="7" t="s">
        <v>366</v>
      </c>
      <c r="G30" s="7" t="s">
        <v>367</v>
      </c>
      <c r="H30" s="7" t="s">
        <v>368</v>
      </c>
    </row>
    <row r="31" customFormat="false" ht="15" hidden="false" customHeight="true" outlineLevel="0" collapsed="false">
      <c r="A31" s="7" t="s">
        <v>369</v>
      </c>
      <c r="B31" s="7" t="s">
        <v>72</v>
      </c>
      <c r="C31" s="7" t="s">
        <v>332</v>
      </c>
      <c r="D31" s="7" t="s">
        <v>370</v>
      </c>
      <c r="E31" s="7" t="s">
        <v>371</v>
      </c>
      <c r="F31" s="7" t="s">
        <v>372</v>
      </c>
      <c r="G31" s="7" t="s">
        <v>373</v>
      </c>
      <c r="H31" s="7" t="s">
        <v>374</v>
      </c>
    </row>
    <row r="32" customFormat="false" ht="15" hidden="false" customHeight="true" outlineLevel="0" collapsed="false">
      <c r="A32" s="7" t="s">
        <v>375</v>
      </c>
      <c r="B32" s="7" t="s">
        <v>72</v>
      </c>
      <c r="C32" s="7" t="s">
        <v>332</v>
      </c>
      <c r="D32" s="7" t="s">
        <v>376</v>
      </c>
      <c r="E32" s="7" t="s">
        <v>377</v>
      </c>
      <c r="F32" s="7" t="s">
        <v>378</v>
      </c>
      <c r="G32" s="7" t="s">
        <v>379</v>
      </c>
      <c r="H32" s="7" t="s">
        <v>380</v>
      </c>
    </row>
    <row r="33" customFormat="false" ht="15" hidden="false" customHeight="true" outlineLevel="0" collapsed="false">
      <c r="A33" s="7" t="s">
        <v>381</v>
      </c>
      <c r="B33" s="7" t="s">
        <v>84</v>
      </c>
      <c r="C33" s="7" t="s">
        <v>382</v>
      </c>
      <c r="D33" s="7" t="s">
        <v>383</v>
      </c>
      <c r="E33" s="7" t="s">
        <v>384</v>
      </c>
      <c r="F33" s="7" t="s">
        <v>385</v>
      </c>
      <c r="G33" s="7" t="s">
        <v>386</v>
      </c>
      <c r="H33" s="7" t="s">
        <v>387</v>
      </c>
    </row>
    <row r="34" customFormat="false" ht="15" hidden="false" customHeight="true" outlineLevel="0" collapsed="false">
      <c r="A34" s="7" t="s">
        <v>388</v>
      </c>
      <c r="B34" s="7" t="s">
        <v>84</v>
      </c>
      <c r="C34" s="7" t="s">
        <v>382</v>
      </c>
      <c r="D34" s="7" t="s">
        <v>389</v>
      </c>
      <c r="E34" s="7" t="s">
        <v>390</v>
      </c>
      <c r="F34" s="7" t="s">
        <v>391</v>
      </c>
      <c r="G34" s="7" t="s">
        <v>204</v>
      </c>
      <c r="H34" s="7" t="s">
        <v>392</v>
      </c>
    </row>
    <row r="35" customFormat="false" ht="21.75" hidden="false" customHeight="true" outlineLevel="0" collapsed="false">
      <c r="A35" s="7" t="s">
        <v>393</v>
      </c>
      <c r="B35" s="7" t="s">
        <v>84</v>
      </c>
      <c r="C35" s="7" t="s">
        <v>382</v>
      </c>
      <c r="D35" s="7" t="s">
        <v>394</v>
      </c>
      <c r="E35" s="7" t="s">
        <v>395</v>
      </c>
      <c r="F35" s="7" t="s">
        <v>396</v>
      </c>
      <c r="G35" s="7" t="s">
        <v>397</v>
      </c>
      <c r="H35" s="7" t="s">
        <v>398</v>
      </c>
    </row>
    <row r="36" customFormat="false" ht="15" hidden="false" customHeight="true" outlineLevel="0" collapsed="false">
      <c r="A36" s="7" t="s">
        <v>399</v>
      </c>
      <c r="B36" s="7" t="s">
        <v>90</v>
      </c>
      <c r="C36" s="7" t="s">
        <v>400</v>
      </c>
      <c r="D36" s="7" t="s">
        <v>3</v>
      </c>
      <c r="E36" s="7" t="s">
        <v>401</v>
      </c>
      <c r="F36" s="7" t="s">
        <v>402</v>
      </c>
      <c r="G36" s="7" t="s">
        <v>403</v>
      </c>
      <c r="H36" s="7" t="s">
        <v>404</v>
      </c>
    </row>
    <row r="37" customFormat="false" ht="15" hidden="false" customHeight="true" outlineLevel="0" collapsed="false">
      <c r="A37" s="7" t="s">
        <v>405</v>
      </c>
      <c r="B37" s="7" t="s">
        <v>90</v>
      </c>
      <c r="C37" s="7" t="s">
        <v>400</v>
      </c>
      <c r="D37" s="7" t="s">
        <v>406</v>
      </c>
      <c r="E37" s="7" t="s">
        <v>407</v>
      </c>
      <c r="F37" s="7" t="s">
        <v>402</v>
      </c>
      <c r="G37" s="7" t="s">
        <v>408</v>
      </c>
      <c r="H37" s="7" t="s">
        <v>409</v>
      </c>
    </row>
    <row r="38" customFormat="false" ht="15" hidden="false" customHeight="true" outlineLevel="0" collapsed="false">
      <c r="A38" s="7" t="s">
        <v>410</v>
      </c>
      <c r="B38" s="7" t="s">
        <v>90</v>
      </c>
      <c r="C38" s="7" t="s">
        <v>400</v>
      </c>
      <c r="D38" s="7" t="s">
        <v>411</v>
      </c>
      <c r="E38" s="7" t="s">
        <v>412</v>
      </c>
      <c r="F38" s="7" t="s">
        <v>413</v>
      </c>
      <c r="G38" s="7" t="s">
        <v>386</v>
      </c>
      <c r="H38" s="7" t="s">
        <v>414</v>
      </c>
    </row>
    <row r="39" customFormat="false" ht="15" hidden="false" customHeight="true" outlineLevel="0" collapsed="false">
      <c r="A39" s="7" t="s">
        <v>415</v>
      </c>
      <c r="B39" s="7" t="s">
        <v>90</v>
      </c>
      <c r="C39" s="7" t="s">
        <v>400</v>
      </c>
      <c r="D39" s="7" t="s">
        <v>416</v>
      </c>
      <c r="E39" s="7" t="s">
        <v>417</v>
      </c>
      <c r="F39" s="7" t="s">
        <v>418</v>
      </c>
      <c r="G39" s="7" t="s">
        <v>419</v>
      </c>
      <c r="H39" s="7" t="s">
        <v>420</v>
      </c>
    </row>
    <row r="40" customFormat="false" ht="15" hidden="false" customHeight="true" outlineLevel="0" collapsed="false">
      <c r="A40" s="7" t="s">
        <v>421</v>
      </c>
      <c r="B40" s="7" t="s">
        <v>97</v>
      </c>
      <c r="C40" s="7" t="s">
        <v>422</v>
      </c>
      <c r="D40" s="7" t="s">
        <v>423</v>
      </c>
      <c r="E40" s="7" t="s">
        <v>424</v>
      </c>
      <c r="F40" s="7" t="s">
        <v>391</v>
      </c>
      <c r="G40" s="7" t="s">
        <v>425</v>
      </c>
      <c r="H40" s="7" t="s">
        <v>426</v>
      </c>
    </row>
    <row r="41" customFormat="false" ht="15" hidden="false" customHeight="true" outlineLevel="0" collapsed="false">
      <c r="A41" s="7" t="s">
        <v>427</v>
      </c>
      <c r="B41" s="7" t="s">
        <v>97</v>
      </c>
      <c r="C41" s="7" t="s">
        <v>422</v>
      </c>
      <c r="D41" s="7" t="s">
        <v>428</v>
      </c>
      <c r="E41" s="7" t="s">
        <v>429</v>
      </c>
      <c r="F41" s="7" t="s">
        <v>430</v>
      </c>
      <c r="G41" s="7" t="s">
        <v>204</v>
      </c>
      <c r="H41" s="7" t="s">
        <v>431</v>
      </c>
    </row>
    <row r="42" customFormat="false" ht="15" hidden="false" customHeight="true" outlineLevel="0" collapsed="false">
      <c r="A42" s="7" t="s">
        <v>432</v>
      </c>
      <c r="B42" s="7" t="s">
        <v>101</v>
      </c>
      <c r="C42" s="7" t="s">
        <v>433</v>
      </c>
      <c r="D42" s="7" t="s">
        <v>434</v>
      </c>
      <c r="E42" s="7" t="s">
        <v>435</v>
      </c>
      <c r="F42" s="7" t="s">
        <v>436</v>
      </c>
      <c r="G42" s="7" t="s">
        <v>437</v>
      </c>
      <c r="H42" s="7" t="s">
        <v>438</v>
      </c>
    </row>
    <row r="43" customFormat="false" ht="15" hidden="false" customHeight="true" outlineLevel="0" collapsed="false">
      <c r="A43" s="7" t="s">
        <v>439</v>
      </c>
      <c r="B43" s="7" t="s">
        <v>101</v>
      </c>
      <c r="C43" s="7" t="s">
        <v>433</v>
      </c>
      <c r="D43" s="7" t="s">
        <v>440</v>
      </c>
      <c r="E43" s="7" t="s">
        <v>441</v>
      </c>
      <c r="F43" s="7" t="s">
        <v>442</v>
      </c>
      <c r="G43" s="7" t="s">
        <v>204</v>
      </c>
      <c r="H43" s="7" t="s">
        <v>443</v>
      </c>
    </row>
    <row r="44" customFormat="false" ht="15" hidden="false" customHeight="true" outlineLevel="0" collapsed="false">
      <c r="A44" s="7" t="s">
        <v>444</v>
      </c>
      <c r="B44" s="7" t="s">
        <v>105</v>
      </c>
      <c r="C44" s="7" t="s">
        <v>445</v>
      </c>
      <c r="D44" s="7" t="s">
        <v>446</v>
      </c>
      <c r="E44" s="7" t="s">
        <v>447</v>
      </c>
      <c r="F44" s="7" t="s">
        <v>448</v>
      </c>
      <c r="G44" s="7" t="s">
        <v>449</v>
      </c>
      <c r="H44" s="7" t="s">
        <v>450</v>
      </c>
    </row>
    <row r="45" customFormat="false" ht="21.75" hidden="false" customHeight="true" outlineLevel="0" collapsed="false">
      <c r="A45" s="7" t="s">
        <v>451</v>
      </c>
      <c r="B45" s="7" t="s">
        <v>119</v>
      </c>
      <c r="C45" s="7" t="s">
        <v>452</v>
      </c>
      <c r="D45" s="7" t="s">
        <v>453</v>
      </c>
      <c r="E45" s="7" t="s">
        <v>454</v>
      </c>
      <c r="F45" s="7" t="s">
        <v>455</v>
      </c>
      <c r="G45" s="7" t="s">
        <v>453</v>
      </c>
      <c r="H45" s="7" t="s">
        <v>456</v>
      </c>
    </row>
    <row r="46" customFormat="false" ht="15" hidden="false" customHeight="true" outlineLevel="0" collapsed="false">
      <c r="A46" s="7" t="s">
        <v>457</v>
      </c>
      <c r="B46" s="7" t="s">
        <v>119</v>
      </c>
      <c r="C46" s="7" t="s">
        <v>452</v>
      </c>
      <c r="D46" s="7" t="s">
        <v>458</v>
      </c>
      <c r="E46" s="7" t="s">
        <v>459</v>
      </c>
      <c r="F46" s="7" t="s">
        <v>460</v>
      </c>
      <c r="G46" s="7" t="s">
        <v>461</v>
      </c>
      <c r="H46" s="7" t="s">
        <v>462</v>
      </c>
    </row>
    <row r="47" customFormat="false" ht="15" hidden="false" customHeight="true" outlineLevel="0" collapsed="false">
      <c r="A47" s="7" t="s">
        <v>463</v>
      </c>
      <c r="B47" s="7" t="s">
        <v>119</v>
      </c>
      <c r="C47" s="7" t="s">
        <v>452</v>
      </c>
      <c r="D47" s="7" t="s">
        <v>464</v>
      </c>
      <c r="E47" s="7" t="s">
        <v>465</v>
      </c>
      <c r="F47" s="7" t="s">
        <v>466</v>
      </c>
      <c r="G47" s="7" t="s">
        <v>467</v>
      </c>
      <c r="H47" s="7" t="s">
        <v>468</v>
      </c>
    </row>
    <row r="48" customFormat="false" ht="21.75" hidden="false" customHeight="true" outlineLevel="0" collapsed="false">
      <c r="A48" s="7" t="s">
        <v>469</v>
      </c>
      <c r="B48" s="7" t="s">
        <v>90</v>
      </c>
      <c r="C48" s="7" t="s">
        <v>470</v>
      </c>
      <c r="D48" s="7" t="s">
        <v>471</v>
      </c>
      <c r="E48" s="7" t="s">
        <v>472</v>
      </c>
      <c r="F48" s="7" t="s">
        <v>473</v>
      </c>
      <c r="G48" s="7" t="s">
        <v>474</v>
      </c>
      <c r="H48" s="7" t="s">
        <v>475</v>
      </c>
    </row>
    <row r="49" customFormat="false" ht="15" hidden="false" customHeight="true" outlineLevel="0" collapsed="false">
      <c r="A49" s="7" t="s">
        <v>476</v>
      </c>
      <c r="B49" s="7" t="s">
        <v>66</v>
      </c>
      <c r="C49" s="7" t="s">
        <v>332</v>
      </c>
      <c r="D49" s="7" t="s">
        <v>477</v>
      </c>
      <c r="E49" s="7" t="s">
        <v>478</v>
      </c>
      <c r="F49" s="7" t="s">
        <v>360</v>
      </c>
      <c r="G49" s="7" t="s">
        <v>479</v>
      </c>
      <c r="H49" s="7" t="s">
        <v>480</v>
      </c>
    </row>
    <row r="50" customFormat="false" ht="15" hidden="false" customHeight="true" outlineLevel="0" collapsed="false">
      <c r="A50" s="7" t="s">
        <v>481</v>
      </c>
      <c r="B50" s="7" t="s">
        <v>66</v>
      </c>
      <c r="C50" s="7" t="s">
        <v>332</v>
      </c>
      <c r="D50" s="7" t="s">
        <v>482</v>
      </c>
      <c r="E50" s="7" t="s">
        <v>483</v>
      </c>
      <c r="F50" s="7" t="s">
        <v>484</v>
      </c>
      <c r="G50" s="7" t="s">
        <v>485</v>
      </c>
      <c r="H50" s="7" t="s">
        <v>486</v>
      </c>
    </row>
    <row r="51" customFormat="false" ht="15" hidden="false" customHeight="true" outlineLevel="0" collapsed="false">
      <c r="A51" s="7" t="s">
        <v>487</v>
      </c>
      <c r="B51" s="7" t="s">
        <v>66</v>
      </c>
      <c r="C51" s="7" t="s">
        <v>332</v>
      </c>
      <c r="D51" s="7" t="s">
        <v>488</v>
      </c>
      <c r="E51" s="7" t="s">
        <v>489</v>
      </c>
      <c r="F51" s="7" t="s">
        <v>490</v>
      </c>
      <c r="G51" s="7" t="s">
        <v>491</v>
      </c>
      <c r="H51" s="7" t="s">
        <v>492</v>
      </c>
    </row>
  </sheetData>
  <autoFilter ref="A1:H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40"/>
    <col collapsed="false" customWidth="true" hidden="false" outlineLevel="0" max="4" min="4" style="1" width="28"/>
    <col collapsed="false" customWidth="true" hidden="false" outlineLevel="0" max="5" min="5" style="1" width="46"/>
  </cols>
  <sheetData>
    <row r="1" customFormat="false" ht="23.25" hidden="false" customHeight="true" outlineLevel="0" collapsed="false">
      <c r="A1" s="6" t="s">
        <v>493</v>
      </c>
      <c r="B1" s="6" t="s">
        <v>494</v>
      </c>
      <c r="C1" s="6" t="s">
        <v>495</v>
      </c>
      <c r="D1" s="6" t="s">
        <v>496</v>
      </c>
      <c r="E1" s="6" t="s">
        <v>497</v>
      </c>
    </row>
    <row r="2" customFormat="false" ht="15" hidden="false" customHeight="true" outlineLevel="0" collapsed="false">
      <c r="A2" s="7" t="n">
        <v>8</v>
      </c>
      <c r="B2" s="7" t="s">
        <v>498</v>
      </c>
      <c r="C2" s="7" t="s">
        <v>499</v>
      </c>
      <c r="D2" s="7" t="s">
        <v>500</v>
      </c>
      <c r="E2" s="7" t="s">
        <v>501</v>
      </c>
    </row>
    <row r="3" customFormat="false" ht="15" hidden="false" customHeight="true" outlineLevel="0" collapsed="false">
      <c r="A3" s="7" t="n">
        <v>9</v>
      </c>
      <c r="B3" s="7" t="s">
        <v>502</v>
      </c>
      <c r="C3" s="7" t="s">
        <v>503</v>
      </c>
      <c r="D3" s="7" t="s">
        <v>84</v>
      </c>
      <c r="E3" s="7" t="s">
        <v>501</v>
      </c>
    </row>
    <row r="4" customFormat="false" ht="15" hidden="false" customHeight="true" outlineLevel="0" collapsed="false">
      <c r="A4" s="7" t="n">
        <v>10</v>
      </c>
      <c r="B4" s="7" t="s">
        <v>504</v>
      </c>
      <c r="C4" s="7" t="s">
        <v>505</v>
      </c>
      <c r="D4" s="7" t="s">
        <v>84</v>
      </c>
      <c r="E4" s="7" t="s">
        <v>501</v>
      </c>
    </row>
    <row r="5" customFormat="false" ht="15" hidden="false" customHeight="true" outlineLevel="0" collapsed="false">
      <c r="A5" s="7" t="n">
        <v>11</v>
      </c>
      <c r="B5" s="7" t="s">
        <v>506</v>
      </c>
      <c r="C5" s="7" t="s">
        <v>507</v>
      </c>
      <c r="D5" s="7" t="s">
        <v>84</v>
      </c>
      <c r="E5" s="7" t="s">
        <v>501</v>
      </c>
    </row>
    <row r="6" customFormat="false" ht="15" hidden="false" customHeight="true" outlineLevel="0" collapsed="false">
      <c r="A6" s="7" t="n">
        <v>12</v>
      </c>
      <c r="B6" s="7" t="s">
        <v>508</v>
      </c>
      <c r="C6" s="7" t="s">
        <v>509</v>
      </c>
      <c r="D6" s="7" t="s">
        <v>510</v>
      </c>
      <c r="E6" s="7" t="s">
        <v>501</v>
      </c>
    </row>
    <row r="7" customFormat="false" ht="15" hidden="false" customHeight="true" outlineLevel="0" collapsed="false">
      <c r="A7" s="7" t="n">
        <v>13</v>
      </c>
      <c r="B7" s="7" t="s">
        <v>511</v>
      </c>
      <c r="C7" s="7" t="s">
        <v>512</v>
      </c>
      <c r="D7" s="7" t="s">
        <v>110</v>
      </c>
      <c r="E7" s="7" t="s">
        <v>501</v>
      </c>
    </row>
    <row r="8" customFormat="false" ht="15" hidden="false" customHeight="true" outlineLevel="0" collapsed="false">
      <c r="A8" s="7" t="n">
        <v>15</v>
      </c>
      <c r="B8" s="7" t="s">
        <v>513</v>
      </c>
      <c r="C8" s="7" t="s">
        <v>514</v>
      </c>
      <c r="D8" s="7" t="s">
        <v>110</v>
      </c>
      <c r="E8" s="7" t="s">
        <v>501</v>
      </c>
    </row>
    <row r="9" customFormat="false" ht="15" hidden="false" customHeight="true" outlineLevel="0" collapsed="false">
      <c r="A9" s="7" t="n">
        <v>16</v>
      </c>
      <c r="B9" s="7" t="s">
        <v>515</v>
      </c>
      <c r="C9" s="7" t="s">
        <v>516</v>
      </c>
      <c r="D9" s="7" t="s">
        <v>517</v>
      </c>
      <c r="E9" s="7" t="s">
        <v>518</v>
      </c>
    </row>
    <row r="10" customFormat="false" ht="15" hidden="false" customHeight="true" outlineLevel="0" collapsed="false">
      <c r="A10" s="7" t="n">
        <v>17</v>
      </c>
      <c r="B10" s="7" t="s">
        <v>519</v>
      </c>
      <c r="C10" s="7" t="s">
        <v>520</v>
      </c>
      <c r="D10" s="7" t="s">
        <v>521</v>
      </c>
      <c r="E10" s="7" t="s">
        <v>501</v>
      </c>
    </row>
    <row r="11" customFormat="false" ht="15" hidden="false" customHeight="true" outlineLevel="0" collapsed="false">
      <c r="A11" s="7" t="n">
        <v>18</v>
      </c>
      <c r="B11" s="7" t="s">
        <v>522</v>
      </c>
      <c r="C11" s="7" t="s">
        <v>523</v>
      </c>
      <c r="D11" s="7" t="s">
        <v>524</v>
      </c>
      <c r="E11" s="7" t="s">
        <v>525</v>
      </c>
    </row>
    <row r="12" customFormat="false" ht="15" hidden="false" customHeight="true" outlineLevel="0" collapsed="false">
      <c r="A12" s="7" t="n">
        <v>21</v>
      </c>
      <c r="B12" s="7" t="s">
        <v>526</v>
      </c>
      <c r="C12" s="7" t="s">
        <v>527</v>
      </c>
      <c r="D12" s="7" t="s">
        <v>128</v>
      </c>
      <c r="E12" s="7" t="s">
        <v>501</v>
      </c>
    </row>
    <row r="13" customFormat="false" ht="15" hidden="false" customHeight="true" outlineLevel="0" collapsed="false">
      <c r="A13" s="7" t="n">
        <v>22</v>
      </c>
      <c r="B13" s="7" t="s">
        <v>528</v>
      </c>
      <c r="C13" s="7" t="s">
        <v>529</v>
      </c>
      <c r="D13" s="7" t="s">
        <v>133</v>
      </c>
      <c r="E13" s="7" t="s">
        <v>530</v>
      </c>
    </row>
    <row r="14" customFormat="false" ht="15" hidden="false" customHeight="true" outlineLevel="0" collapsed="false">
      <c r="A14" s="7" t="n">
        <v>23</v>
      </c>
      <c r="B14" s="7" t="s">
        <v>531</v>
      </c>
      <c r="C14" s="7" t="s">
        <v>532</v>
      </c>
      <c r="D14" s="7" t="s">
        <v>81</v>
      </c>
      <c r="E14" s="7" t="s">
        <v>501</v>
      </c>
    </row>
    <row r="15" customFormat="false" ht="21.75" hidden="false" customHeight="true" outlineLevel="0" collapsed="false">
      <c r="A15" s="7" t="n">
        <v>24</v>
      </c>
      <c r="B15" s="7" t="s">
        <v>533</v>
      </c>
      <c r="C15" s="7" t="s">
        <v>534</v>
      </c>
      <c r="D15" s="7" t="s">
        <v>535</v>
      </c>
      <c r="E15" s="7" t="s">
        <v>536</v>
      </c>
    </row>
    <row r="16" customFormat="false" ht="15" hidden="false" customHeight="true" outlineLevel="0" collapsed="false">
      <c r="A16" s="7" t="n">
        <v>25</v>
      </c>
      <c r="B16" s="7" t="s">
        <v>537</v>
      </c>
      <c r="C16" s="7" t="s">
        <v>514</v>
      </c>
      <c r="D16" s="7" t="s">
        <v>227</v>
      </c>
      <c r="E16" s="7" t="s">
        <v>538</v>
      </c>
    </row>
    <row r="17" customFormat="false" ht="15" hidden="false" customHeight="true" outlineLevel="0" collapsed="false">
      <c r="A17" s="7" t="n">
        <v>28</v>
      </c>
      <c r="B17" s="7" t="s">
        <v>539</v>
      </c>
      <c r="C17" s="7" t="s">
        <v>540</v>
      </c>
      <c r="D17" s="7" t="s">
        <v>541</v>
      </c>
      <c r="E17" s="7" t="s">
        <v>501</v>
      </c>
    </row>
    <row r="18" customFormat="false" ht="15" hidden="false" customHeight="true" outlineLevel="0" collapsed="false">
      <c r="A18" s="7" t="n">
        <v>29</v>
      </c>
      <c r="B18" s="7" t="s">
        <v>542</v>
      </c>
      <c r="C18" s="7" t="s">
        <v>543</v>
      </c>
      <c r="D18" s="7" t="s">
        <v>50</v>
      </c>
      <c r="E18" s="7" t="s">
        <v>501</v>
      </c>
    </row>
    <row r="19" customFormat="false" ht="15" hidden="false" customHeight="true" outlineLevel="0" collapsed="false">
      <c r="A19" s="7" t="n">
        <v>30</v>
      </c>
      <c r="B19" s="7" t="s">
        <v>544</v>
      </c>
      <c r="C19" s="7" t="s">
        <v>545</v>
      </c>
      <c r="D19" s="7" t="s">
        <v>227</v>
      </c>
      <c r="E19" s="7" t="s">
        <v>538</v>
      </c>
    </row>
    <row r="20" customFormat="false" ht="21.75" hidden="false" customHeight="true" outlineLevel="0" collapsed="false">
      <c r="A20" s="7" t="n">
        <v>20</v>
      </c>
      <c r="B20" s="7" t="s">
        <v>546</v>
      </c>
      <c r="C20" s="7" t="s">
        <v>547</v>
      </c>
      <c r="D20" s="7" t="s">
        <v>227</v>
      </c>
      <c r="E20" s="7" t="s">
        <v>538</v>
      </c>
    </row>
  </sheetData>
  <autoFilter ref="A1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2026-10-27T14:36:56Z</dcterms:created>
  <dc:creator>openpyxl</dc:creator>
  <dc:description/>
  <dc:language>en-US</dc:language>
  <cp:lastModifiedBy/>
  <dcterms:modified xsi:type="dcterms:W3CDTF">2026-10-30T06:19:00Z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